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lauc\Downloads\"/>
    </mc:Choice>
  </mc:AlternateContent>
  <bookViews>
    <workbookView xWindow="180" yWindow="450" windowWidth="15000" windowHeight="761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L74" i="1" l="1"/>
  <c r="K74" i="1"/>
  <c r="K70" i="1"/>
  <c r="J70" i="1"/>
  <c r="I70" i="1"/>
</calcChain>
</file>

<file path=xl/sharedStrings.xml><?xml version="1.0" encoding="utf-8"?>
<sst xmlns="http://schemas.openxmlformats.org/spreadsheetml/2006/main" count="482" uniqueCount="126">
  <si>
    <t>Relatório do Histórico de Negociação</t>
  </si>
  <si>
    <t>Nome:</t>
  </si>
  <si>
    <t>Dresswell Perfumes</t>
  </si>
  <si>
    <t>Conta:</t>
  </si>
  <si>
    <t>106143045 (USD, FBS-Demo, demo, Hedge)</t>
  </si>
  <si>
    <t>Empresa:</t>
  </si>
  <si>
    <t>FBS Markets Inc.</t>
  </si>
  <si>
    <t>Data:</t>
  </si>
  <si>
    <t>2026.06.08 18:19</t>
  </si>
  <si>
    <t>Posições</t>
  </si>
  <si>
    <t>Horário</t>
  </si>
  <si>
    <t>Position</t>
  </si>
  <si>
    <t>Ativo</t>
  </si>
  <si>
    <t>Tipo</t>
  </si>
  <si>
    <t>Volume</t>
  </si>
  <si>
    <t>Preço</t>
  </si>
  <si>
    <t>S / L</t>
  </si>
  <si>
    <t>T / P</t>
  </si>
  <si>
    <t>Comissão</t>
  </si>
  <si>
    <t>Swap</t>
  </si>
  <si>
    <t>Lucro</t>
  </si>
  <si>
    <t>2026.05.21 01:05:03</t>
  </si>
  <si>
    <t>XAUUSD</t>
  </si>
  <si>
    <t>buy</t>
  </si>
  <si>
    <t>0.1</t>
  </si>
  <si>
    <t>2026.05.27 13:46:26</t>
  </si>
  <si>
    <t>2026.05.21 16:00:20</t>
  </si>
  <si>
    <t>sell</t>
  </si>
  <si>
    <t>2026.05.21 20:10:39</t>
  </si>
  <si>
    <t>2026.05.28 14:43:59</t>
  </si>
  <si>
    <t>2026.05.28 17:13:11</t>
  </si>
  <si>
    <t>2026.05.29 14:00:36</t>
  </si>
  <si>
    <t>2026.05.29 20:32:22</t>
  </si>
  <si>
    <t>2026.06.01 17:00:37</t>
  </si>
  <si>
    <t>2026.06.01 20:30:00</t>
  </si>
  <si>
    <t>2026.06.02 09:00:40</t>
  </si>
  <si>
    <t>2026.06.02 15:53:19</t>
  </si>
  <si>
    <t>2026.06.03 05:00:46</t>
  </si>
  <si>
    <t>2026.06.04 02:43:05</t>
  </si>
  <si>
    <t>2026.06.04 15:00:07</t>
  </si>
  <si>
    <t>2026.06.04 17:38:21</t>
  </si>
  <si>
    <t>2026.06.05 03:00:08</t>
  </si>
  <si>
    <t>2026.06.05 07:05:30</t>
  </si>
  <si>
    <t>2026.06.05 16:00:14</t>
  </si>
  <si>
    <t>2026.06.05 20:04:32</t>
  </si>
  <si>
    <t>2026.06.05 22:36:16</t>
  </si>
  <si>
    <t>2026.06.08 15:00:54</t>
  </si>
  <si>
    <t>Ordens</t>
  </si>
  <si>
    <t>Horário da Abertura</t>
  </si>
  <si>
    <t>Ordem</t>
  </si>
  <si>
    <t>Estado</t>
  </si>
  <si>
    <t>Comentário</t>
  </si>
  <si>
    <t>0.1 / 0.1</t>
  </si>
  <si>
    <t>market</t>
  </si>
  <si>
    <t>filled</t>
  </si>
  <si>
    <t>BOT CLUSTER Long</t>
  </si>
  <si>
    <t>RB BREAKOUT S</t>
  </si>
  <si>
    <t>[sl 4526.67]</t>
  </si>
  <si>
    <t>[sl 4453.43]</t>
  </si>
  <si>
    <t>[tp 4462.29]</t>
  </si>
  <si>
    <t>RB BREAKOUT L</t>
  </si>
  <si>
    <t>[sl 4560.01]</t>
  </si>
  <si>
    <t>[sl 4483.44]</t>
  </si>
  <si>
    <t>[sl 4516.85]</t>
  </si>
  <si>
    <t>[sl 4452.77]</t>
  </si>
  <si>
    <t>[sl 4478.68]</t>
  </si>
  <si>
    <t>[sl 4443.87]</t>
  </si>
  <si>
    <t>[sl 4344.90]</t>
  </si>
  <si>
    <t>RL Close</t>
  </si>
  <si>
    <t>2026.06.08 15:00:55</t>
  </si>
  <si>
    <t>Transações</t>
  </si>
  <si>
    <t>Oferta</t>
  </si>
  <si>
    <t>Direção</t>
  </si>
  <si>
    <t>Taxa</t>
  </si>
  <si>
    <t>Saldo</t>
  </si>
  <si>
    <t>2026.05.20 22:30:24</t>
  </si>
  <si>
    <t>balance</t>
  </si>
  <si>
    <t>Starting balance</t>
  </si>
  <si>
    <t>in</t>
  </si>
  <si>
    <t>out</t>
  </si>
  <si>
    <t>Posições Abertas</t>
  </si>
  <si>
    <t>Preço de Mercado</t>
  </si>
  <si>
    <t>Saldo:</t>
  </si>
  <si>
    <t>Margem Livre:</t>
  </si>
  <si>
    <t>Facilidade do Crédito:</t>
  </si>
  <si>
    <t>Margem:</t>
  </si>
  <si>
    <t>Flutuante P/L:</t>
  </si>
  <si>
    <t>Nível de Margem:</t>
  </si>
  <si>
    <t>Capital Líquido:</t>
  </si>
  <si>
    <t>Resultados</t>
  </si>
  <si>
    <t>Lucro Líquido Total:</t>
  </si>
  <si>
    <t>Lucro Bruto:</t>
  </si>
  <si>
    <t>Perda Bruta:</t>
  </si>
  <si>
    <t>Fator de Lucro:</t>
  </si>
  <si>
    <t>Retorno Esperado (Payoff):</t>
  </si>
  <si>
    <t>Fator de Recuperação:</t>
  </si>
  <si>
    <t>Índice de Sharpe:</t>
  </si>
  <si>
    <t>Rebaixamento do Saldo:</t>
  </si>
  <si>
    <t>Rebaixamento Absoluto do Saldo :</t>
  </si>
  <si>
    <t>Rebaixamento Máximo do Saldo :</t>
  </si>
  <si>
    <t>1 174.50 (5.87%)</t>
  </si>
  <si>
    <t>Rebaixamento Relativo do Saldo :</t>
  </si>
  <si>
    <t>5.87% (1 174.50)</t>
  </si>
  <si>
    <t>Total de Negociações:</t>
  </si>
  <si>
    <t>Posições Vendidas (% e ganhos):</t>
  </si>
  <si>
    <t>6 (50.00%)</t>
  </si>
  <si>
    <t>Posições Compradas (% de ganhos):</t>
  </si>
  <si>
    <t>5 (40.00%)</t>
  </si>
  <si>
    <t>Negociações com Lucro (% of total):</t>
  </si>
  <si>
    <t>5 (45.45%)</t>
  </si>
  <si>
    <t>Negociações com Perda (% of total):</t>
  </si>
  <si>
    <t>6 (54.55%)</t>
  </si>
  <si>
    <t>Maior lucro da negociação:</t>
  </si>
  <si>
    <t>Maior perda na Negociação:</t>
  </si>
  <si>
    <t>Média lucro da negociação:</t>
  </si>
  <si>
    <t>Média perda na Negociação:</t>
  </si>
  <si>
    <t>Máximo ganhos consecutivos ($):</t>
  </si>
  <si>
    <t>2 (939.70)</t>
  </si>
  <si>
    <t>Máximo perdas consecutivas ($):</t>
  </si>
  <si>
    <t>2 (-1 174.50)</t>
  </si>
  <si>
    <t>Máxima lucro consecutivo (contagem):</t>
  </si>
  <si>
    <t>939.70 (2)</t>
  </si>
  <si>
    <t>Máxima perda consecutiva (contagem):</t>
  </si>
  <si>
    <t>-1 174.50 (2)</t>
  </si>
  <si>
    <t>Média ganhos consecutivos:</t>
  </si>
  <si>
    <t>Média perdas consecutivas: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</si>
</sst>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##0;\-###0;0;"/>
    <numFmt numFmtId="165" formatCode="#\ ##0.00;\-#\ ##0.00;0.00;"/>
    <numFmt numFmtId="166" formatCode="#\ ##0.00%;\-#\ ##0.00%;0.00%;"/>
    <numFmt numFmtId="167" formatCode="#\ ##0;\-#\ ##0;0;"/>
  </numFmts>
  <fonts count="6" x14ac:knownFonts="1">
    <font>
      <sz val="11"/>
      <color rgb="FF000000"/>
      <name val="Tahoma"/>
    </font>
    <font>
      <b/>
      <sz val="14"/>
      <color rgb="FF000000"/>
      <name val="Tahoma"/>
    </font>
    <font>
      <sz val="10"/>
      <color rgb="FF000000"/>
      <name val="Tahoma"/>
    </font>
    <font>
      <b/>
      <sz val="10"/>
      <color rgb="FF000000"/>
      <name val="Tahoma"/>
    </font>
    <font>
      <b/>
      <sz val="8"/>
      <color rgb="FF000000"/>
      <name val="Tahoma"/>
    </font>
    <font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4" fillId="3" borderId="1" xfId="0" applyFont="1" applyFill="1" applyBorder="1" applyAlignment="1" applyProtection="1">
      <alignment horizontal="right" vertical="center"/>
    </xf>
    <xf numFmtId="0" fontId="5" fillId="4" borderId="0" xfId="0" applyFont="1" applyFill="1" applyBorder="1" applyAlignment="1" applyProtection="1">
      <alignment horizontal="right" vertical="center"/>
    </xf>
    <xf numFmtId="164" fontId="5" fillId="4" borderId="0" xfId="0" applyNumberFormat="1" applyFont="1" applyFill="1" applyBorder="1" applyAlignment="1" applyProtection="1">
      <alignment horizontal="right" vertical="center"/>
    </xf>
    <xf numFmtId="165" fontId="5" fillId="4" borderId="0" xfId="0" applyNumberFormat="1" applyFont="1" applyFill="1" applyBorder="1" applyAlignment="1" applyProtection="1">
      <alignment horizontal="right" vertical="center"/>
    </xf>
    <xf numFmtId="0" fontId="5" fillId="2" borderId="0" xfId="0" applyFont="1" applyFill="1" applyBorder="1" applyAlignment="1" applyProtection="1">
      <alignment horizontal="right" vertical="center"/>
    </xf>
    <xf numFmtId="164" fontId="5" fillId="2" borderId="0" xfId="0" applyNumberFormat="1" applyFont="1" applyFill="1" applyBorder="1" applyAlignment="1" applyProtection="1">
      <alignment horizontal="right" vertical="center"/>
    </xf>
    <xf numFmtId="165" fontId="5" fillId="2" borderId="0" xfId="0" applyNumberFormat="1" applyFont="1" applyFill="1" applyBorder="1" applyAlignment="1" applyProtection="1">
      <alignment horizontal="right" vertical="center"/>
    </xf>
    <xf numFmtId="165" fontId="4" fillId="2" borderId="2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right" vertical="center"/>
    </xf>
    <xf numFmtId="0" fontId="3" fillId="2" borderId="0" xfId="0" applyFont="1" applyFill="1" applyBorder="1" applyAlignment="1" applyProtection="1">
      <alignment horizontal="left" vertical="center"/>
    </xf>
    <xf numFmtId="0" fontId="3" fillId="2" borderId="0" xfId="0" applyFont="1" applyFill="1" applyBorder="1" applyAlignment="1" applyProtection="1">
      <alignment horizontal="center"/>
    </xf>
    <xf numFmtId="0" fontId="4" fillId="3" borderId="1" xfId="0" applyFont="1" applyFill="1" applyBorder="1" applyAlignment="1" applyProtection="1">
      <alignment horizontal="right" vertical="center"/>
    </xf>
    <xf numFmtId="165" fontId="5" fillId="4" borderId="0" xfId="0" applyNumberFormat="1" applyFont="1" applyFill="1" applyBorder="1" applyAlignment="1" applyProtection="1">
      <alignment horizontal="right" vertical="center"/>
    </xf>
    <xf numFmtId="165" fontId="5" fillId="2" borderId="0" xfId="0" applyNumberFormat="1" applyFont="1" applyFill="1" applyBorder="1" applyAlignment="1" applyProtection="1">
      <alignment horizontal="right" vertical="center"/>
    </xf>
    <xf numFmtId="0" fontId="5" fillId="4" borderId="0" xfId="0" applyFont="1" applyFill="1" applyBorder="1" applyAlignment="1" applyProtection="1">
      <alignment horizontal="right" vertical="center"/>
    </xf>
    <xf numFmtId="0" fontId="5" fillId="2" borderId="0" xfId="0" applyFont="1" applyFill="1" applyBorder="1" applyAlignment="1" applyProtection="1">
      <alignment horizontal="right" vertical="center"/>
    </xf>
    <xf numFmtId="0" fontId="3" fillId="2" borderId="2" xfId="0" applyFont="1" applyFill="1" applyBorder="1" applyAlignment="1" applyProtection="1">
      <alignment horizontal="center"/>
    </xf>
    <xf numFmtId="0" fontId="4" fillId="2" borderId="2" xfId="0" applyFont="1" applyFill="1" applyBorder="1" applyAlignment="1" applyProtection="1">
      <alignment horizontal="right" vertical="center"/>
    </xf>
    <xf numFmtId="165" fontId="4" fillId="2" borderId="0" xfId="0" applyNumberFormat="1" applyFont="1" applyFill="1" applyBorder="1" applyAlignment="1" applyProtection="1">
      <alignment horizontal="right" vertical="center"/>
    </xf>
    <xf numFmtId="166" fontId="4" fillId="2" borderId="0" xfId="0" applyNumberFormat="1" applyFont="1" applyFill="1" applyBorder="1" applyAlignment="1" applyProtection="1">
      <alignment horizontal="right" vertical="center"/>
    </xf>
    <xf numFmtId="0" fontId="4" fillId="2" borderId="0" xfId="0" applyFont="1" applyFill="1" applyBorder="1" applyAlignment="1" applyProtection="1">
      <alignment horizontal="right" vertical="center"/>
    </xf>
    <xf numFmtId="167" fontId="4" fillId="2" borderId="0" xfId="0" applyNumberFormat="1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t>Grafico do saldo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Saldo</c:v>
          </c:tx>
          <c:marker>
            <c:symbol val="none"/>
          </c:marker>
          <c:cat>
            <c:strRef>
              <c:f>Sheet1!$A$46:$A$69</c:f>
              <c:strCache>
                <c:ptCount val="24"/>
                <c:pt idx="0">
                  <c:v>2026.05.20 22:30:24</c:v>
                </c:pt>
                <c:pt idx="1">
                  <c:v>2026.05.21 01:05:03</c:v>
                </c:pt>
                <c:pt idx="2">
                  <c:v>2026.05.21 16:00:20</c:v>
                </c:pt>
                <c:pt idx="3">
                  <c:v>2026.05.21 20:10:39</c:v>
                </c:pt>
                <c:pt idx="4">
                  <c:v>2026.05.27 13:46:26</c:v>
                </c:pt>
                <c:pt idx="5">
                  <c:v>2026.05.28 14:43:59</c:v>
                </c:pt>
                <c:pt idx="6">
                  <c:v>2026.05.28 17:13:11</c:v>
                </c:pt>
                <c:pt idx="7">
                  <c:v>2026.05.29 14:00:36</c:v>
                </c:pt>
                <c:pt idx="8">
                  <c:v>2026.05.29 20:32:22</c:v>
                </c:pt>
                <c:pt idx="9">
                  <c:v>2026.06.01 17:00:37</c:v>
                </c:pt>
                <c:pt idx="10">
                  <c:v>2026.06.01 20:30:00</c:v>
                </c:pt>
                <c:pt idx="11">
                  <c:v>2026.06.02 09:00:40</c:v>
                </c:pt>
                <c:pt idx="12">
                  <c:v>2026.06.02 15:53:19</c:v>
                </c:pt>
                <c:pt idx="13">
                  <c:v>2026.06.03 05:00:46</c:v>
                </c:pt>
                <c:pt idx="14">
                  <c:v>2026.06.04 02:43:05</c:v>
                </c:pt>
                <c:pt idx="15">
                  <c:v>2026.06.04 15:00:07</c:v>
                </c:pt>
                <c:pt idx="16">
                  <c:v>2026.06.04 17:38:21</c:v>
                </c:pt>
                <c:pt idx="17">
                  <c:v>2026.06.05 03:00:08</c:v>
                </c:pt>
                <c:pt idx="18">
                  <c:v>2026.06.05 07:05:30</c:v>
                </c:pt>
                <c:pt idx="19">
                  <c:v>2026.06.05 16:00:14</c:v>
                </c:pt>
                <c:pt idx="20">
                  <c:v>2026.06.05 20:04:32</c:v>
                </c:pt>
                <c:pt idx="21">
                  <c:v>2026.06.05 22:36:16</c:v>
                </c:pt>
                <c:pt idx="22">
                  <c:v>2026.06.08 15:00:54</c:v>
                </c:pt>
                <c:pt idx="23">
                  <c:v>2026.06.08 15:00:55</c:v>
                </c:pt>
              </c:strCache>
            </c:strRef>
          </c:cat>
          <c:val>
            <c:numRef>
              <c:f>Sheet1!$M$46:$M$69</c:f>
              <c:numCache>
                <c:formatCode>#\ ##0.00;\-#\ ##0.00;0.00;</c:formatCode>
                <c:ptCount val="24"/>
                <c:pt idx="0">
                  <c:v>20000</c:v>
                </c:pt>
                <c:pt idx="1">
                  <c:v>20000</c:v>
                </c:pt>
                <c:pt idx="2">
                  <c:v>20000</c:v>
                </c:pt>
                <c:pt idx="3">
                  <c:v>19768.400000000001</c:v>
                </c:pt>
                <c:pt idx="4">
                  <c:v>18825.5</c:v>
                </c:pt>
                <c:pt idx="5">
                  <c:v>18825.5</c:v>
                </c:pt>
                <c:pt idx="6">
                  <c:v>19570.900000000001</c:v>
                </c:pt>
                <c:pt idx="7">
                  <c:v>19570.900000000001</c:v>
                </c:pt>
                <c:pt idx="8">
                  <c:v>19765.2</c:v>
                </c:pt>
                <c:pt idx="9">
                  <c:v>19765.2</c:v>
                </c:pt>
                <c:pt idx="10">
                  <c:v>19416.8</c:v>
                </c:pt>
                <c:pt idx="11">
                  <c:v>19416.8</c:v>
                </c:pt>
                <c:pt idx="12">
                  <c:v>19385.5</c:v>
                </c:pt>
                <c:pt idx="13">
                  <c:v>19385.5</c:v>
                </c:pt>
                <c:pt idx="14">
                  <c:v>19606.87</c:v>
                </c:pt>
                <c:pt idx="15">
                  <c:v>19606.87</c:v>
                </c:pt>
                <c:pt idx="16">
                  <c:v>19256.77</c:v>
                </c:pt>
                <c:pt idx="17">
                  <c:v>19256.77</c:v>
                </c:pt>
                <c:pt idx="18">
                  <c:v>19428.37</c:v>
                </c:pt>
                <c:pt idx="19">
                  <c:v>19428.37</c:v>
                </c:pt>
                <c:pt idx="20">
                  <c:v>20010.37</c:v>
                </c:pt>
                <c:pt idx="21">
                  <c:v>20010.37</c:v>
                </c:pt>
                <c:pt idx="22">
                  <c:v>19875.46</c:v>
                </c:pt>
                <c:pt idx="23">
                  <c:v>19875.46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29-4425-A9CA-0C5A3D0173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n-US"/>
          </a:p>
        </c:txPr>
        <c:crossAx val="110902656"/>
        <c:crosses val="autoZero"/>
        <c:auto val="1"/>
        <c:lblAlgn val="ctr"/>
        <c:lblOffset val="100"/>
        <c:noMultiLvlLbl val="0"/>
      </c:catAx>
      <c:valAx>
        <c:axId val="110902656"/>
        <c:scaling>
          <c:orientation val="minMax"/>
          <c:max val="22011"/>
          <c:min val="16943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n-US"/>
          </a:p>
        </c:txPr>
        <c:crossAx val="1109011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78</xdr:row>
      <xdr:rowOff>0</xdr:rowOff>
    </xdr:from>
    <xdr:to>
      <xdr:col>14</xdr:col>
      <xdr:colOff>0</xdr:colOff>
      <xdr:row>98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1"/>
  <sheetViews>
    <sheetView tabSelected="1" workbookViewId="0">
      <selection activeCell="D4" sqref="D4:O4"/>
    </sheetView>
  </sheetViews>
  <sheetFormatPr defaultRowHeight="15" customHeight="1" x14ac:dyDescent="0.3"/>
  <cols>
    <col min="1" max="1" width="18" bestFit="1" customWidth="1"/>
    <col min="2" max="8" width="10" bestFit="1" customWidth="1"/>
    <col min="9" max="9" width="18" bestFit="1" customWidth="1"/>
    <col min="10" max="14" width="10" bestFit="1" customWidth="1"/>
    <col min="15" max="15" width="1" bestFit="1" customWidth="1"/>
  </cols>
  <sheetData>
    <row r="1" spans="1:15" ht="25" customHeight="1" x14ac:dyDescent="0.3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15" customHeight="1" x14ac:dyDescent="0.3">
      <c r="A2" s="10" t="s">
        <v>1</v>
      </c>
      <c r="B2" s="10"/>
      <c r="C2" s="10"/>
      <c r="D2" s="11" t="s">
        <v>2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3" spans="1:15" ht="15" customHeight="1" x14ac:dyDescent="0.3">
      <c r="A3" s="10" t="s">
        <v>3</v>
      </c>
      <c r="B3" s="10"/>
      <c r="C3" s="10"/>
      <c r="D3" s="11" t="s">
        <v>4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spans="1:15" ht="15" customHeight="1" x14ac:dyDescent="0.3">
      <c r="A4" s="10" t="s">
        <v>5</v>
      </c>
      <c r="B4" s="10"/>
      <c r="C4" s="10"/>
      <c r="D4" s="11" t="s">
        <v>6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</row>
    <row r="5" spans="1:15" ht="15" customHeight="1" x14ac:dyDescent="0.3">
      <c r="A5" s="10" t="s">
        <v>7</v>
      </c>
      <c r="B5" s="10"/>
      <c r="C5" s="10"/>
      <c r="D5" s="11" t="s">
        <v>8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</row>
    <row r="6" spans="1:15" ht="25" customHeight="1" x14ac:dyDescent="0.3">
      <c r="A6" s="12" t="s">
        <v>9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</row>
    <row r="7" spans="1:15" ht="20" customHeight="1" x14ac:dyDescent="0.3">
      <c r="A7" s="1" t="s">
        <v>10</v>
      </c>
      <c r="B7" s="1" t="s">
        <v>11</v>
      </c>
      <c r="C7" s="1" t="s">
        <v>12</v>
      </c>
      <c r="D7" s="1" t="s">
        <v>13</v>
      </c>
      <c r="E7" s="1" t="s">
        <v>14</v>
      </c>
      <c r="F7" s="1" t="s">
        <v>15</v>
      </c>
      <c r="G7" s="1" t="s">
        <v>16</v>
      </c>
      <c r="H7" s="1" t="s">
        <v>17</v>
      </c>
      <c r="I7" s="1" t="s">
        <v>10</v>
      </c>
      <c r="J7" s="1" t="s">
        <v>15</v>
      </c>
      <c r="K7" s="1" t="s">
        <v>18</v>
      </c>
      <c r="L7" s="1" t="s">
        <v>19</v>
      </c>
      <c r="M7" s="13" t="s">
        <v>20</v>
      </c>
      <c r="N7" s="13"/>
      <c r="O7" s="13"/>
    </row>
    <row r="8" spans="1:15" ht="15" customHeight="1" x14ac:dyDescent="0.3">
      <c r="A8" s="2" t="s">
        <v>21</v>
      </c>
      <c r="B8" s="3">
        <v>1787629782</v>
      </c>
      <c r="C8" s="2" t="s">
        <v>22</v>
      </c>
      <c r="D8" s="2" t="s">
        <v>23</v>
      </c>
      <c r="E8" s="2" t="s">
        <v>24</v>
      </c>
      <c r="F8" s="4">
        <v>4544.92</v>
      </c>
      <c r="G8" s="4">
        <v>4453.43</v>
      </c>
      <c r="H8" s="4">
        <v>4773.68</v>
      </c>
      <c r="I8" s="2" t="s">
        <v>25</v>
      </c>
      <c r="J8" s="4">
        <v>4453.43</v>
      </c>
      <c r="K8" s="4">
        <v>0</v>
      </c>
      <c r="L8" s="4">
        <v>-28</v>
      </c>
      <c r="M8" s="14">
        <v>-914.9</v>
      </c>
      <c r="N8" s="14"/>
      <c r="O8" s="14"/>
    </row>
    <row r="9" spans="1:15" ht="15" customHeight="1" x14ac:dyDescent="0.3">
      <c r="A9" s="5" t="s">
        <v>26</v>
      </c>
      <c r="B9" s="6">
        <v>1789190865</v>
      </c>
      <c r="C9" s="5" t="s">
        <v>22</v>
      </c>
      <c r="D9" s="5" t="s">
        <v>27</v>
      </c>
      <c r="E9" s="5" t="s">
        <v>24</v>
      </c>
      <c r="F9" s="7">
        <v>4503.51</v>
      </c>
      <c r="G9" s="7">
        <v>4526.67</v>
      </c>
      <c r="H9" s="5"/>
      <c r="I9" s="5" t="s">
        <v>28</v>
      </c>
      <c r="J9" s="7">
        <v>4526.67</v>
      </c>
      <c r="K9" s="7">
        <v>0</v>
      </c>
      <c r="L9" s="7">
        <v>0</v>
      </c>
      <c r="M9" s="15">
        <v>-231.6</v>
      </c>
      <c r="N9" s="15"/>
      <c r="O9" s="15"/>
    </row>
    <row r="10" spans="1:15" ht="15" customHeight="1" x14ac:dyDescent="0.3">
      <c r="A10" s="2" t="s">
        <v>29</v>
      </c>
      <c r="B10" s="3">
        <v>1802146004</v>
      </c>
      <c r="C10" s="2" t="s">
        <v>22</v>
      </c>
      <c r="D10" s="2" t="s">
        <v>23</v>
      </c>
      <c r="E10" s="2" t="s">
        <v>24</v>
      </c>
      <c r="F10" s="4">
        <v>4387.75</v>
      </c>
      <c r="G10" s="4">
        <v>4366.37</v>
      </c>
      <c r="H10" s="4">
        <v>4462.29</v>
      </c>
      <c r="I10" s="2" t="s">
        <v>30</v>
      </c>
      <c r="J10" s="4">
        <v>4462.29</v>
      </c>
      <c r="K10" s="4">
        <v>0</v>
      </c>
      <c r="L10" s="4">
        <v>0</v>
      </c>
      <c r="M10" s="14">
        <v>745.4</v>
      </c>
      <c r="N10" s="14"/>
      <c r="O10" s="14"/>
    </row>
    <row r="11" spans="1:15" ht="15" customHeight="1" x14ac:dyDescent="0.3">
      <c r="A11" s="5" t="s">
        <v>31</v>
      </c>
      <c r="B11" s="6">
        <v>1804615216</v>
      </c>
      <c r="C11" s="5" t="s">
        <v>22</v>
      </c>
      <c r="D11" s="5" t="s">
        <v>23</v>
      </c>
      <c r="E11" s="5" t="s">
        <v>24</v>
      </c>
      <c r="F11" s="7">
        <v>4540.58</v>
      </c>
      <c r="G11" s="7">
        <v>4560.01</v>
      </c>
      <c r="H11" s="5"/>
      <c r="I11" s="5" t="s">
        <v>32</v>
      </c>
      <c r="J11" s="7">
        <v>4560.01</v>
      </c>
      <c r="K11" s="7">
        <v>0</v>
      </c>
      <c r="L11" s="7">
        <v>0</v>
      </c>
      <c r="M11" s="15">
        <v>194.3</v>
      </c>
      <c r="N11" s="15"/>
      <c r="O11" s="15"/>
    </row>
    <row r="12" spans="1:15" ht="15" customHeight="1" x14ac:dyDescent="0.3">
      <c r="A12" s="2" t="s">
        <v>33</v>
      </c>
      <c r="B12" s="3">
        <v>1808715595</v>
      </c>
      <c r="C12" s="2" t="s">
        <v>22</v>
      </c>
      <c r="D12" s="2" t="s">
        <v>27</v>
      </c>
      <c r="E12" s="2" t="s">
        <v>24</v>
      </c>
      <c r="F12" s="4">
        <v>4448.6000000000004</v>
      </c>
      <c r="G12" s="4">
        <v>4483.4399999999996</v>
      </c>
      <c r="H12" s="2"/>
      <c r="I12" s="2" t="s">
        <v>34</v>
      </c>
      <c r="J12" s="4">
        <v>4483.4399999999996</v>
      </c>
      <c r="K12" s="4">
        <v>0</v>
      </c>
      <c r="L12" s="4">
        <v>0</v>
      </c>
      <c r="M12" s="14">
        <v>-348.4</v>
      </c>
      <c r="N12" s="14"/>
      <c r="O12" s="14"/>
    </row>
    <row r="13" spans="1:15" ht="15" customHeight="1" x14ac:dyDescent="0.3">
      <c r="A13" s="5" t="s">
        <v>35</v>
      </c>
      <c r="B13" s="6">
        <v>1810100577</v>
      </c>
      <c r="C13" s="5" t="s">
        <v>22</v>
      </c>
      <c r="D13" s="5" t="s">
        <v>23</v>
      </c>
      <c r="E13" s="5" t="s">
        <v>24</v>
      </c>
      <c r="F13" s="7">
        <v>4519.9799999999996</v>
      </c>
      <c r="G13" s="7">
        <v>4516.8500000000004</v>
      </c>
      <c r="H13" s="5"/>
      <c r="I13" s="5" t="s">
        <v>36</v>
      </c>
      <c r="J13" s="7">
        <v>4516.8500000000004</v>
      </c>
      <c r="K13" s="7">
        <v>0</v>
      </c>
      <c r="L13" s="7">
        <v>0</v>
      </c>
      <c r="M13" s="15">
        <v>-31.3</v>
      </c>
      <c r="N13" s="15"/>
      <c r="O13" s="15"/>
    </row>
    <row r="14" spans="1:15" ht="15" customHeight="1" x14ac:dyDescent="0.3">
      <c r="A14" s="2" t="s">
        <v>37</v>
      </c>
      <c r="B14" s="3">
        <v>1812066767</v>
      </c>
      <c r="C14" s="2" t="s">
        <v>22</v>
      </c>
      <c r="D14" s="2" t="s">
        <v>27</v>
      </c>
      <c r="E14" s="2" t="s">
        <v>24</v>
      </c>
      <c r="F14" s="4">
        <v>4474.16</v>
      </c>
      <c r="G14" s="4">
        <v>4452.7700000000004</v>
      </c>
      <c r="H14" s="2"/>
      <c r="I14" s="2" t="s">
        <v>38</v>
      </c>
      <c r="J14" s="4">
        <v>4452.7700000000004</v>
      </c>
      <c r="K14" s="4">
        <v>0</v>
      </c>
      <c r="L14" s="4">
        <v>7.47</v>
      </c>
      <c r="M14" s="14">
        <v>213.9</v>
      </c>
      <c r="N14" s="14"/>
      <c r="O14" s="14"/>
    </row>
    <row r="15" spans="1:15" ht="15" customHeight="1" x14ac:dyDescent="0.3">
      <c r="A15" s="5" t="s">
        <v>39</v>
      </c>
      <c r="B15" s="6">
        <v>1816014416</v>
      </c>
      <c r="C15" s="5" t="s">
        <v>22</v>
      </c>
      <c r="D15" s="5" t="s">
        <v>23</v>
      </c>
      <c r="E15" s="5" t="s">
        <v>24</v>
      </c>
      <c r="F15" s="7">
        <v>4513.6899999999996</v>
      </c>
      <c r="G15" s="7">
        <v>4478.68</v>
      </c>
      <c r="H15" s="5"/>
      <c r="I15" s="5" t="s">
        <v>40</v>
      </c>
      <c r="J15" s="7">
        <v>4478.68</v>
      </c>
      <c r="K15" s="7">
        <v>0</v>
      </c>
      <c r="L15" s="7">
        <v>0</v>
      </c>
      <c r="M15" s="15">
        <v>-350.1</v>
      </c>
      <c r="N15" s="15"/>
      <c r="O15" s="15"/>
    </row>
    <row r="16" spans="1:15" ht="15" customHeight="1" x14ac:dyDescent="0.3">
      <c r="A16" s="2" t="s">
        <v>41</v>
      </c>
      <c r="B16" s="3">
        <v>1817188416</v>
      </c>
      <c r="C16" s="2" t="s">
        <v>22</v>
      </c>
      <c r="D16" s="2" t="s">
        <v>27</v>
      </c>
      <c r="E16" s="2" t="s">
        <v>24</v>
      </c>
      <c r="F16" s="4">
        <v>4461.03</v>
      </c>
      <c r="G16" s="4">
        <v>4443.87</v>
      </c>
      <c r="H16" s="2"/>
      <c r="I16" s="2" t="s">
        <v>42</v>
      </c>
      <c r="J16" s="4">
        <v>4443.87</v>
      </c>
      <c r="K16" s="4">
        <v>0</v>
      </c>
      <c r="L16" s="4">
        <v>0</v>
      </c>
      <c r="M16" s="14">
        <v>171.6</v>
      </c>
      <c r="N16" s="14"/>
      <c r="O16" s="14"/>
    </row>
    <row r="17" spans="1:15" ht="15" customHeight="1" x14ac:dyDescent="0.3">
      <c r="A17" s="5" t="s">
        <v>43</v>
      </c>
      <c r="B17" s="6">
        <v>1818611476</v>
      </c>
      <c r="C17" s="5" t="s">
        <v>22</v>
      </c>
      <c r="D17" s="5" t="s">
        <v>27</v>
      </c>
      <c r="E17" s="5" t="s">
        <v>24</v>
      </c>
      <c r="F17" s="7">
        <v>4403.1000000000004</v>
      </c>
      <c r="G17" s="7">
        <v>4344.8999999999996</v>
      </c>
      <c r="H17" s="5"/>
      <c r="I17" s="5" t="s">
        <v>44</v>
      </c>
      <c r="J17" s="7">
        <v>4344.8999999999996</v>
      </c>
      <c r="K17" s="7">
        <v>0</v>
      </c>
      <c r="L17" s="7">
        <v>0</v>
      </c>
      <c r="M17" s="15">
        <v>582</v>
      </c>
      <c r="N17" s="15"/>
      <c r="O17" s="15"/>
    </row>
    <row r="18" spans="1:15" ht="15" customHeight="1" x14ac:dyDescent="0.3">
      <c r="A18" s="2" t="s">
        <v>45</v>
      </c>
      <c r="B18" s="3">
        <v>1819919128</v>
      </c>
      <c r="C18" s="2" t="s">
        <v>22</v>
      </c>
      <c r="D18" s="2" t="s">
        <v>27</v>
      </c>
      <c r="E18" s="2" t="s">
        <v>24</v>
      </c>
      <c r="F18" s="4">
        <v>4320.74</v>
      </c>
      <c r="G18" s="4">
        <v>4353.8</v>
      </c>
      <c r="H18" s="2"/>
      <c r="I18" s="2" t="s">
        <v>46</v>
      </c>
      <c r="J18" s="4">
        <v>4334.4799999999996</v>
      </c>
      <c r="K18" s="4">
        <v>0</v>
      </c>
      <c r="L18" s="4">
        <v>2.4900000000000002</v>
      </c>
      <c r="M18" s="14">
        <v>-137.4</v>
      </c>
      <c r="N18" s="14"/>
      <c r="O18" s="14"/>
    </row>
    <row r="19" spans="1:15" ht="25" customHeight="1" x14ac:dyDescent="0.3">
      <c r="A19" s="12" t="s">
        <v>47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spans="1:15" ht="20" customHeight="1" x14ac:dyDescent="0.3">
      <c r="A20" s="1" t="s">
        <v>48</v>
      </c>
      <c r="B20" s="1" t="s">
        <v>49</v>
      </c>
      <c r="C20" s="1" t="s">
        <v>12</v>
      </c>
      <c r="D20" s="1" t="s">
        <v>13</v>
      </c>
      <c r="E20" s="1" t="s">
        <v>14</v>
      </c>
      <c r="F20" s="1" t="s">
        <v>15</v>
      </c>
      <c r="G20" s="1" t="s">
        <v>16</v>
      </c>
      <c r="H20" s="1" t="s">
        <v>17</v>
      </c>
      <c r="I20" s="1" t="s">
        <v>10</v>
      </c>
      <c r="J20" s="13" t="s">
        <v>50</v>
      </c>
      <c r="K20" s="13"/>
      <c r="L20" s="13" t="s">
        <v>51</v>
      </c>
      <c r="M20" s="13"/>
      <c r="N20" s="13"/>
      <c r="O20" s="13"/>
    </row>
    <row r="21" spans="1:15" ht="15" customHeight="1" x14ac:dyDescent="0.3">
      <c r="A21" s="2" t="s">
        <v>21</v>
      </c>
      <c r="B21" s="3">
        <v>1787629782</v>
      </c>
      <c r="C21" s="2" t="s">
        <v>22</v>
      </c>
      <c r="D21" s="2" t="s">
        <v>23</v>
      </c>
      <c r="E21" s="2" t="s">
        <v>52</v>
      </c>
      <c r="F21" s="2" t="s">
        <v>53</v>
      </c>
      <c r="G21" s="4">
        <v>4453.43</v>
      </c>
      <c r="H21" s="4">
        <v>4773.68</v>
      </c>
      <c r="I21" s="2" t="s">
        <v>21</v>
      </c>
      <c r="J21" s="16" t="s">
        <v>54</v>
      </c>
      <c r="K21" s="16"/>
      <c r="L21" s="16" t="s">
        <v>55</v>
      </c>
      <c r="M21" s="16"/>
      <c r="N21" s="16"/>
      <c r="O21" s="16"/>
    </row>
    <row r="22" spans="1:15" ht="15" customHeight="1" x14ac:dyDescent="0.3">
      <c r="A22" s="5" t="s">
        <v>26</v>
      </c>
      <c r="B22" s="6">
        <v>1789190865</v>
      </c>
      <c r="C22" s="5" t="s">
        <v>22</v>
      </c>
      <c r="D22" s="5" t="s">
        <v>27</v>
      </c>
      <c r="E22" s="5" t="s">
        <v>52</v>
      </c>
      <c r="F22" s="5" t="s">
        <v>53</v>
      </c>
      <c r="G22" s="7">
        <v>4539.26</v>
      </c>
      <c r="H22" s="5"/>
      <c r="I22" s="5" t="s">
        <v>26</v>
      </c>
      <c r="J22" s="17" t="s">
        <v>54</v>
      </c>
      <c r="K22" s="17"/>
      <c r="L22" s="17" t="s">
        <v>56</v>
      </c>
      <c r="M22" s="17"/>
      <c r="N22" s="17"/>
      <c r="O22" s="17"/>
    </row>
    <row r="23" spans="1:15" ht="15" customHeight="1" x14ac:dyDescent="0.3">
      <c r="A23" s="2" t="s">
        <v>28</v>
      </c>
      <c r="B23" s="3">
        <v>1789947716</v>
      </c>
      <c r="C23" s="2" t="s">
        <v>22</v>
      </c>
      <c r="D23" s="2" t="s">
        <v>23</v>
      </c>
      <c r="E23" s="2" t="s">
        <v>52</v>
      </c>
      <c r="F23" s="4">
        <v>4526.67</v>
      </c>
      <c r="G23" s="2"/>
      <c r="H23" s="2"/>
      <c r="I23" s="2" t="s">
        <v>28</v>
      </c>
      <c r="J23" s="16" t="s">
        <v>54</v>
      </c>
      <c r="K23" s="16"/>
      <c r="L23" s="16" t="s">
        <v>57</v>
      </c>
      <c r="M23" s="16"/>
      <c r="N23" s="16"/>
      <c r="O23" s="16"/>
    </row>
    <row r="24" spans="1:15" ht="15" customHeight="1" x14ac:dyDescent="0.3">
      <c r="A24" s="5" t="s">
        <v>25</v>
      </c>
      <c r="B24" s="6">
        <v>1799408578</v>
      </c>
      <c r="C24" s="5" t="s">
        <v>22</v>
      </c>
      <c r="D24" s="5" t="s">
        <v>27</v>
      </c>
      <c r="E24" s="5" t="s">
        <v>52</v>
      </c>
      <c r="F24" s="7">
        <v>4453.43</v>
      </c>
      <c r="G24" s="5"/>
      <c r="H24" s="5"/>
      <c r="I24" s="5" t="s">
        <v>25</v>
      </c>
      <c r="J24" s="17" t="s">
        <v>54</v>
      </c>
      <c r="K24" s="17"/>
      <c r="L24" s="17" t="s">
        <v>58</v>
      </c>
      <c r="M24" s="17"/>
      <c r="N24" s="17"/>
      <c r="O24" s="17"/>
    </row>
    <row r="25" spans="1:15" ht="15" customHeight="1" x14ac:dyDescent="0.3">
      <c r="A25" s="2" t="s">
        <v>29</v>
      </c>
      <c r="B25" s="3">
        <v>1802146004</v>
      </c>
      <c r="C25" s="2" t="s">
        <v>22</v>
      </c>
      <c r="D25" s="2" t="s">
        <v>23</v>
      </c>
      <c r="E25" s="2" t="s">
        <v>52</v>
      </c>
      <c r="F25" s="2" t="s">
        <v>53</v>
      </c>
      <c r="G25" s="4">
        <v>4366.37</v>
      </c>
      <c r="H25" s="4">
        <v>4462.29</v>
      </c>
      <c r="I25" s="2" t="s">
        <v>29</v>
      </c>
      <c r="J25" s="16" t="s">
        <v>54</v>
      </c>
      <c r="K25" s="16"/>
      <c r="L25" s="16" t="s">
        <v>55</v>
      </c>
      <c r="M25" s="16"/>
      <c r="N25" s="16"/>
      <c r="O25" s="16"/>
    </row>
    <row r="26" spans="1:15" ht="15" customHeight="1" x14ac:dyDescent="0.3">
      <c r="A26" s="5" t="s">
        <v>30</v>
      </c>
      <c r="B26" s="6">
        <v>1802647453</v>
      </c>
      <c r="C26" s="5" t="s">
        <v>22</v>
      </c>
      <c r="D26" s="5" t="s">
        <v>27</v>
      </c>
      <c r="E26" s="5" t="s">
        <v>52</v>
      </c>
      <c r="F26" s="7">
        <v>4462.29</v>
      </c>
      <c r="G26" s="5"/>
      <c r="H26" s="5"/>
      <c r="I26" s="5" t="s">
        <v>30</v>
      </c>
      <c r="J26" s="17" t="s">
        <v>54</v>
      </c>
      <c r="K26" s="17"/>
      <c r="L26" s="17" t="s">
        <v>59</v>
      </c>
      <c r="M26" s="17"/>
      <c r="N26" s="17"/>
      <c r="O26" s="17"/>
    </row>
    <row r="27" spans="1:15" ht="15" customHeight="1" x14ac:dyDescent="0.3">
      <c r="A27" s="2" t="s">
        <v>31</v>
      </c>
      <c r="B27" s="3">
        <v>1804615216</v>
      </c>
      <c r="C27" s="2" t="s">
        <v>22</v>
      </c>
      <c r="D27" s="2" t="s">
        <v>23</v>
      </c>
      <c r="E27" s="2" t="s">
        <v>52</v>
      </c>
      <c r="F27" s="2" t="s">
        <v>53</v>
      </c>
      <c r="G27" s="4">
        <v>4508.12</v>
      </c>
      <c r="H27" s="2"/>
      <c r="I27" s="2" t="s">
        <v>31</v>
      </c>
      <c r="J27" s="16" t="s">
        <v>54</v>
      </c>
      <c r="K27" s="16"/>
      <c r="L27" s="16" t="s">
        <v>60</v>
      </c>
      <c r="M27" s="16"/>
      <c r="N27" s="16"/>
      <c r="O27" s="16"/>
    </row>
    <row r="28" spans="1:15" ht="15" customHeight="1" x14ac:dyDescent="0.3">
      <c r="A28" s="5" t="s">
        <v>32</v>
      </c>
      <c r="B28" s="6">
        <v>1805832138</v>
      </c>
      <c r="C28" s="5" t="s">
        <v>22</v>
      </c>
      <c r="D28" s="5" t="s">
        <v>27</v>
      </c>
      <c r="E28" s="5" t="s">
        <v>52</v>
      </c>
      <c r="F28" s="7">
        <v>4560.01</v>
      </c>
      <c r="G28" s="5"/>
      <c r="H28" s="5"/>
      <c r="I28" s="5" t="s">
        <v>32</v>
      </c>
      <c r="J28" s="17" t="s">
        <v>54</v>
      </c>
      <c r="K28" s="17"/>
      <c r="L28" s="17" t="s">
        <v>61</v>
      </c>
      <c r="M28" s="17"/>
      <c r="N28" s="17"/>
      <c r="O28" s="17"/>
    </row>
    <row r="29" spans="1:15" ht="15" customHeight="1" x14ac:dyDescent="0.3">
      <c r="A29" s="2" t="s">
        <v>33</v>
      </c>
      <c r="B29" s="3">
        <v>1808715595</v>
      </c>
      <c r="C29" s="2" t="s">
        <v>22</v>
      </c>
      <c r="D29" s="2" t="s">
        <v>27</v>
      </c>
      <c r="E29" s="2" t="s">
        <v>52</v>
      </c>
      <c r="F29" s="2" t="s">
        <v>53</v>
      </c>
      <c r="G29" s="4">
        <v>4484.3999999999996</v>
      </c>
      <c r="H29" s="2"/>
      <c r="I29" s="2" t="s">
        <v>33</v>
      </c>
      <c r="J29" s="16" t="s">
        <v>54</v>
      </c>
      <c r="K29" s="16"/>
      <c r="L29" s="16" t="s">
        <v>56</v>
      </c>
      <c r="M29" s="16"/>
      <c r="N29" s="16"/>
      <c r="O29" s="16"/>
    </row>
    <row r="30" spans="1:15" ht="15" customHeight="1" x14ac:dyDescent="0.3">
      <c r="A30" s="5" t="s">
        <v>34</v>
      </c>
      <c r="B30" s="6">
        <v>1809242747</v>
      </c>
      <c r="C30" s="5" t="s">
        <v>22</v>
      </c>
      <c r="D30" s="5" t="s">
        <v>23</v>
      </c>
      <c r="E30" s="5" t="s">
        <v>52</v>
      </c>
      <c r="F30" s="7">
        <v>4483.4399999999996</v>
      </c>
      <c r="G30" s="5"/>
      <c r="H30" s="5"/>
      <c r="I30" s="5" t="s">
        <v>34</v>
      </c>
      <c r="J30" s="17" t="s">
        <v>54</v>
      </c>
      <c r="K30" s="17"/>
      <c r="L30" s="17" t="s">
        <v>62</v>
      </c>
      <c r="M30" s="17"/>
      <c r="N30" s="17"/>
      <c r="O30" s="17"/>
    </row>
    <row r="31" spans="1:15" ht="15" customHeight="1" x14ac:dyDescent="0.3">
      <c r="A31" s="2" t="s">
        <v>35</v>
      </c>
      <c r="B31" s="3">
        <v>1810100577</v>
      </c>
      <c r="C31" s="2" t="s">
        <v>22</v>
      </c>
      <c r="D31" s="2" t="s">
        <v>23</v>
      </c>
      <c r="E31" s="2" t="s">
        <v>52</v>
      </c>
      <c r="F31" s="2" t="s">
        <v>53</v>
      </c>
      <c r="G31" s="4">
        <v>4488.78</v>
      </c>
      <c r="H31" s="2"/>
      <c r="I31" s="2" t="s">
        <v>35</v>
      </c>
      <c r="J31" s="16" t="s">
        <v>54</v>
      </c>
      <c r="K31" s="16"/>
      <c r="L31" s="16" t="s">
        <v>60</v>
      </c>
      <c r="M31" s="16"/>
      <c r="N31" s="16"/>
      <c r="O31" s="16"/>
    </row>
    <row r="32" spans="1:15" ht="15" customHeight="1" x14ac:dyDescent="0.3">
      <c r="A32" s="5" t="s">
        <v>36</v>
      </c>
      <c r="B32" s="6">
        <v>1810839162</v>
      </c>
      <c r="C32" s="5" t="s">
        <v>22</v>
      </c>
      <c r="D32" s="5" t="s">
        <v>27</v>
      </c>
      <c r="E32" s="5" t="s">
        <v>52</v>
      </c>
      <c r="F32" s="7">
        <v>4516.8500000000004</v>
      </c>
      <c r="G32" s="5"/>
      <c r="H32" s="5"/>
      <c r="I32" s="5" t="s">
        <v>36</v>
      </c>
      <c r="J32" s="17" t="s">
        <v>54</v>
      </c>
      <c r="K32" s="17"/>
      <c r="L32" s="17" t="s">
        <v>63</v>
      </c>
      <c r="M32" s="17"/>
      <c r="N32" s="17"/>
      <c r="O32" s="17"/>
    </row>
    <row r="33" spans="1:15" ht="15" customHeight="1" x14ac:dyDescent="0.3">
      <c r="A33" s="2" t="s">
        <v>37</v>
      </c>
      <c r="B33" s="3">
        <v>1812066767</v>
      </c>
      <c r="C33" s="2" t="s">
        <v>22</v>
      </c>
      <c r="D33" s="2" t="s">
        <v>27</v>
      </c>
      <c r="E33" s="2" t="s">
        <v>52</v>
      </c>
      <c r="F33" s="2" t="s">
        <v>53</v>
      </c>
      <c r="G33" s="4">
        <v>4503.67</v>
      </c>
      <c r="H33" s="2"/>
      <c r="I33" s="2" t="s">
        <v>37</v>
      </c>
      <c r="J33" s="16" t="s">
        <v>54</v>
      </c>
      <c r="K33" s="16"/>
      <c r="L33" s="16" t="s">
        <v>56</v>
      </c>
      <c r="M33" s="16"/>
      <c r="N33" s="16"/>
      <c r="O33" s="16"/>
    </row>
    <row r="34" spans="1:15" ht="15" customHeight="1" x14ac:dyDescent="0.3">
      <c r="A34" s="5" t="s">
        <v>38</v>
      </c>
      <c r="B34" s="6">
        <v>1814581572</v>
      </c>
      <c r="C34" s="5" t="s">
        <v>22</v>
      </c>
      <c r="D34" s="5" t="s">
        <v>23</v>
      </c>
      <c r="E34" s="5" t="s">
        <v>52</v>
      </c>
      <c r="F34" s="7">
        <v>4452.7700000000004</v>
      </c>
      <c r="G34" s="5"/>
      <c r="H34" s="5"/>
      <c r="I34" s="5" t="s">
        <v>38</v>
      </c>
      <c r="J34" s="17" t="s">
        <v>54</v>
      </c>
      <c r="K34" s="17"/>
      <c r="L34" s="17" t="s">
        <v>64</v>
      </c>
      <c r="M34" s="17"/>
      <c r="N34" s="17"/>
      <c r="O34" s="17"/>
    </row>
    <row r="35" spans="1:15" ht="15" customHeight="1" x14ac:dyDescent="0.3">
      <c r="A35" s="2" t="s">
        <v>39</v>
      </c>
      <c r="B35" s="3">
        <v>1816014416</v>
      </c>
      <c r="C35" s="2" t="s">
        <v>22</v>
      </c>
      <c r="D35" s="2" t="s">
        <v>23</v>
      </c>
      <c r="E35" s="2" t="s">
        <v>52</v>
      </c>
      <c r="F35" s="2" t="s">
        <v>53</v>
      </c>
      <c r="G35" s="4">
        <v>4478.55</v>
      </c>
      <c r="H35" s="2"/>
      <c r="I35" s="2" t="s">
        <v>39</v>
      </c>
      <c r="J35" s="16" t="s">
        <v>54</v>
      </c>
      <c r="K35" s="16"/>
      <c r="L35" s="16" t="s">
        <v>60</v>
      </c>
      <c r="M35" s="16"/>
      <c r="N35" s="16"/>
      <c r="O35" s="16"/>
    </row>
    <row r="36" spans="1:15" ht="15" customHeight="1" x14ac:dyDescent="0.3">
      <c r="A36" s="5" t="s">
        <v>40</v>
      </c>
      <c r="B36" s="6">
        <v>1816502542</v>
      </c>
      <c r="C36" s="5" t="s">
        <v>22</v>
      </c>
      <c r="D36" s="5" t="s">
        <v>27</v>
      </c>
      <c r="E36" s="5" t="s">
        <v>52</v>
      </c>
      <c r="F36" s="7">
        <v>4478.68</v>
      </c>
      <c r="G36" s="5"/>
      <c r="H36" s="5"/>
      <c r="I36" s="5" t="s">
        <v>40</v>
      </c>
      <c r="J36" s="17" t="s">
        <v>54</v>
      </c>
      <c r="K36" s="17"/>
      <c r="L36" s="17" t="s">
        <v>65</v>
      </c>
      <c r="M36" s="17"/>
      <c r="N36" s="17"/>
      <c r="O36" s="17"/>
    </row>
    <row r="37" spans="1:15" ht="15" customHeight="1" x14ac:dyDescent="0.3">
      <c r="A37" s="2" t="s">
        <v>41</v>
      </c>
      <c r="B37" s="3">
        <v>1817188416</v>
      </c>
      <c r="C37" s="2" t="s">
        <v>22</v>
      </c>
      <c r="D37" s="2" t="s">
        <v>27</v>
      </c>
      <c r="E37" s="2" t="s">
        <v>52</v>
      </c>
      <c r="F37" s="2" t="s">
        <v>53</v>
      </c>
      <c r="G37" s="4">
        <v>4491.1000000000004</v>
      </c>
      <c r="H37" s="2"/>
      <c r="I37" s="2" t="s">
        <v>41</v>
      </c>
      <c r="J37" s="16" t="s">
        <v>54</v>
      </c>
      <c r="K37" s="16"/>
      <c r="L37" s="16" t="s">
        <v>56</v>
      </c>
      <c r="M37" s="16"/>
      <c r="N37" s="16"/>
      <c r="O37" s="16"/>
    </row>
    <row r="38" spans="1:15" ht="15" customHeight="1" x14ac:dyDescent="0.3">
      <c r="A38" s="5" t="s">
        <v>42</v>
      </c>
      <c r="B38" s="6">
        <v>1817544034</v>
      </c>
      <c r="C38" s="5" t="s">
        <v>22</v>
      </c>
      <c r="D38" s="5" t="s">
        <v>23</v>
      </c>
      <c r="E38" s="5" t="s">
        <v>52</v>
      </c>
      <c r="F38" s="7">
        <v>4443.87</v>
      </c>
      <c r="G38" s="5"/>
      <c r="H38" s="5"/>
      <c r="I38" s="5" t="s">
        <v>42</v>
      </c>
      <c r="J38" s="17" t="s">
        <v>54</v>
      </c>
      <c r="K38" s="17"/>
      <c r="L38" s="17" t="s">
        <v>66</v>
      </c>
      <c r="M38" s="17"/>
      <c r="N38" s="17"/>
      <c r="O38" s="17"/>
    </row>
    <row r="39" spans="1:15" ht="15" customHeight="1" x14ac:dyDescent="0.3">
      <c r="A39" s="2" t="s">
        <v>43</v>
      </c>
      <c r="B39" s="3">
        <v>1818611476</v>
      </c>
      <c r="C39" s="2" t="s">
        <v>22</v>
      </c>
      <c r="D39" s="2" t="s">
        <v>27</v>
      </c>
      <c r="E39" s="2" t="s">
        <v>52</v>
      </c>
      <c r="F39" s="2" t="s">
        <v>53</v>
      </c>
      <c r="G39" s="4">
        <v>4438.9799999999996</v>
      </c>
      <c r="H39" s="2"/>
      <c r="I39" s="2" t="s">
        <v>43</v>
      </c>
      <c r="J39" s="16" t="s">
        <v>54</v>
      </c>
      <c r="K39" s="16"/>
      <c r="L39" s="16" t="s">
        <v>56</v>
      </c>
      <c r="M39" s="16"/>
      <c r="N39" s="16"/>
      <c r="O39" s="16"/>
    </row>
    <row r="40" spans="1:15" ht="15" customHeight="1" x14ac:dyDescent="0.3">
      <c r="A40" s="5" t="s">
        <v>44</v>
      </c>
      <c r="B40" s="6">
        <v>1819567667</v>
      </c>
      <c r="C40" s="5" t="s">
        <v>22</v>
      </c>
      <c r="D40" s="5" t="s">
        <v>23</v>
      </c>
      <c r="E40" s="5" t="s">
        <v>52</v>
      </c>
      <c r="F40" s="7">
        <v>4344.8999999999996</v>
      </c>
      <c r="G40" s="5"/>
      <c r="H40" s="5"/>
      <c r="I40" s="5" t="s">
        <v>44</v>
      </c>
      <c r="J40" s="17" t="s">
        <v>54</v>
      </c>
      <c r="K40" s="17"/>
      <c r="L40" s="17" t="s">
        <v>67</v>
      </c>
      <c r="M40" s="17"/>
      <c r="N40" s="17"/>
      <c r="O40" s="17"/>
    </row>
    <row r="41" spans="1:15" ht="15" customHeight="1" x14ac:dyDescent="0.3">
      <c r="A41" s="2" t="s">
        <v>45</v>
      </c>
      <c r="B41" s="3">
        <v>1819919128</v>
      </c>
      <c r="C41" s="2" t="s">
        <v>22</v>
      </c>
      <c r="D41" s="2" t="s">
        <v>27</v>
      </c>
      <c r="E41" s="2" t="s">
        <v>52</v>
      </c>
      <c r="F41" s="2" t="s">
        <v>53</v>
      </c>
      <c r="G41" s="4">
        <v>4364.8900000000003</v>
      </c>
      <c r="H41" s="2"/>
      <c r="I41" s="2" t="s">
        <v>45</v>
      </c>
      <c r="J41" s="16" t="s">
        <v>54</v>
      </c>
      <c r="K41" s="16"/>
      <c r="L41" s="16" t="s">
        <v>56</v>
      </c>
      <c r="M41" s="16"/>
      <c r="N41" s="16"/>
      <c r="O41" s="16"/>
    </row>
    <row r="42" spans="1:15" ht="15" customHeight="1" x14ac:dyDescent="0.3">
      <c r="A42" s="5" t="s">
        <v>46</v>
      </c>
      <c r="B42" s="6">
        <v>1823702378</v>
      </c>
      <c r="C42" s="5" t="s">
        <v>22</v>
      </c>
      <c r="D42" s="5" t="s">
        <v>23</v>
      </c>
      <c r="E42" s="5" t="s">
        <v>52</v>
      </c>
      <c r="F42" s="5" t="s">
        <v>53</v>
      </c>
      <c r="G42" s="5"/>
      <c r="H42" s="5"/>
      <c r="I42" s="5" t="s">
        <v>46</v>
      </c>
      <c r="J42" s="17" t="s">
        <v>54</v>
      </c>
      <c r="K42" s="17"/>
      <c r="L42" s="17" t="s">
        <v>68</v>
      </c>
      <c r="M42" s="17"/>
      <c r="N42" s="17"/>
      <c r="O42" s="17"/>
    </row>
    <row r="43" spans="1:15" ht="15" customHeight="1" x14ac:dyDescent="0.3">
      <c r="A43" s="2" t="s">
        <v>69</v>
      </c>
      <c r="B43" s="3">
        <v>1823702467</v>
      </c>
      <c r="C43" s="2" t="s">
        <v>22</v>
      </c>
      <c r="D43" s="2" t="s">
        <v>23</v>
      </c>
      <c r="E43" s="2" t="s">
        <v>52</v>
      </c>
      <c r="F43" s="2" t="s">
        <v>53</v>
      </c>
      <c r="G43" s="4">
        <v>4268.3900000000003</v>
      </c>
      <c r="H43" s="4">
        <v>4499.7</v>
      </c>
      <c r="I43" s="2" t="s">
        <v>69</v>
      </c>
      <c r="J43" s="16" t="s">
        <v>54</v>
      </c>
      <c r="K43" s="16"/>
      <c r="L43" s="16" t="s">
        <v>55</v>
      </c>
      <c r="M43" s="16"/>
      <c r="N43" s="16"/>
      <c r="O43" s="16"/>
    </row>
    <row r="44" spans="1:15" ht="25" customHeight="1" x14ac:dyDescent="0.3">
      <c r="A44" s="18" t="s">
        <v>70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</row>
    <row r="45" spans="1:15" ht="20" customHeight="1" x14ac:dyDescent="0.3">
      <c r="A45" s="1" t="s">
        <v>10</v>
      </c>
      <c r="B45" s="1" t="s">
        <v>71</v>
      </c>
      <c r="C45" s="1" t="s">
        <v>12</v>
      </c>
      <c r="D45" s="1" t="s">
        <v>13</v>
      </c>
      <c r="E45" s="1" t="s">
        <v>72</v>
      </c>
      <c r="F45" s="1" t="s">
        <v>14</v>
      </c>
      <c r="G45" s="1" t="s">
        <v>15</v>
      </c>
      <c r="H45" s="1" t="s">
        <v>49</v>
      </c>
      <c r="I45" s="1" t="s">
        <v>18</v>
      </c>
      <c r="J45" s="13" t="s">
        <v>73</v>
      </c>
      <c r="K45" s="1" t="s">
        <v>19</v>
      </c>
      <c r="L45" s="1" t="s">
        <v>20</v>
      </c>
      <c r="M45" s="1" t="s">
        <v>74</v>
      </c>
      <c r="N45" s="13" t="s">
        <v>51</v>
      </c>
      <c r="O45" s="13"/>
    </row>
    <row r="46" spans="1:15" ht="15" customHeight="1" x14ac:dyDescent="0.3">
      <c r="A46" s="2" t="s">
        <v>75</v>
      </c>
      <c r="B46" s="3">
        <v>1602780150</v>
      </c>
      <c r="C46" s="2"/>
      <c r="D46" s="2" t="s">
        <v>76</v>
      </c>
      <c r="E46" s="2"/>
      <c r="F46" s="2"/>
      <c r="G46" s="2"/>
      <c r="H46" s="2"/>
      <c r="I46" s="14">
        <v>0</v>
      </c>
      <c r="J46" s="4">
        <v>0</v>
      </c>
      <c r="K46" s="4">
        <v>0</v>
      </c>
      <c r="L46" s="4">
        <v>20000</v>
      </c>
      <c r="M46" s="4">
        <v>20000</v>
      </c>
      <c r="N46" s="16" t="s">
        <v>77</v>
      </c>
      <c r="O46" s="16"/>
    </row>
    <row r="47" spans="1:15" ht="15" customHeight="1" x14ac:dyDescent="0.3">
      <c r="A47" s="5" t="s">
        <v>21</v>
      </c>
      <c r="B47" s="6">
        <v>1602856155</v>
      </c>
      <c r="C47" s="5" t="s">
        <v>22</v>
      </c>
      <c r="D47" s="5" t="s">
        <v>23</v>
      </c>
      <c r="E47" s="5" t="s">
        <v>78</v>
      </c>
      <c r="F47" s="5" t="s">
        <v>24</v>
      </c>
      <c r="G47" s="7">
        <v>4544.92</v>
      </c>
      <c r="H47" s="6">
        <v>1787629782</v>
      </c>
      <c r="I47" s="15">
        <v>0</v>
      </c>
      <c r="J47" s="7">
        <v>0</v>
      </c>
      <c r="K47" s="7">
        <v>0</v>
      </c>
      <c r="L47" s="7">
        <v>0</v>
      </c>
      <c r="M47" s="7">
        <v>20000</v>
      </c>
      <c r="N47" s="17" t="s">
        <v>55</v>
      </c>
      <c r="O47" s="17"/>
    </row>
    <row r="48" spans="1:15" ht="15" customHeight="1" x14ac:dyDescent="0.3">
      <c r="A48" s="2" t="s">
        <v>26</v>
      </c>
      <c r="B48" s="3">
        <v>1604284553</v>
      </c>
      <c r="C48" s="2" t="s">
        <v>22</v>
      </c>
      <c r="D48" s="2" t="s">
        <v>27</v>
      </c>
      <c r="E48" s="2" t="s">
        <v>78</v>
      </c>
      <c r="F48" s="2" t="s">
        <v>24</v>
      </c>
      <c r="G48" s="4">
        <v>4503.51</v>
      </c>
      <c r="H48" s="3">
        <v>1789190865</v>
      </c>
      <c r="I48" s="14">
        <v>0</v>
      </c>
      <c r="J48" s="4">
        <v>0</v>
      </c>
      <c r="K48" s="4">
        <v>0</v>
      </c>
      <c r="L48" s="4">
        <v>0</v>
      </c>
      <c r="M48" s="4">
        <v>20000</v>
      </c>
      <c r="N48" s="16" t="s">
        <v>56</v>
      </c>
      <c r="O48" s="16"/>
    </row>
    <row r="49" spans="1:15" ht="15" customHeight="1" x14ac:dyDescent="0.3">
      <c r="A49" s="5" t="s">
        <v>28</v>
      </c>
      <c r="B49" s="6">
        <v>1605007686</v>
      </c>
      <c r="C49" s="5" t="s">
        <v>22</v>
      </c>
      <c r="D49" s="5" t="s">
        <v>23</v>
      </c>
      <c r="E49" s="5" t="s">
        <v>79</v>
      </c>
      <c r="F49" s="5" t="s">
        <v>24</v>
      </c>
      <c r="G49" s="7">
        <v>4526.67</v>
      </c>
      <c r="H49" s="6">
        <v>1789947716</v>
      </c>
      <c r="I49" s="15">
        <v>0</v>
      </c>
      <c r="J49" s="7">
        <v>0</v>
      </c>
      <c r="K49" s="7">
        <v>0</v>
      </c>
      <c r="L49" s="7">
        <v>-231.6</v>
      </c>
      <c r="M49" s="7">
        <v>19768.400000000001</v>
      </c>
      <c r="N49" s="17" t="s">
        <v>57</v>
      </c>
      <c r="O49" s="17"/>
    </row>
    <row r="50" spans="1:15" ht="15" customHeight="1" x14ac:dyDescent="0.3">
      <c r="A50" s="2" t="s">
        <v>25</v>
      </c>
      <c r="B50" s="3">
        <v>1613887085</v>
      </c>
      <c r="C50" s="2" t="s">
        <v>22</v>
      </c>
      <c r="D50" s="2" t="s">
        <v>27</v>
      </c>
      <c r="E50" s="2" t="s">
        <v>79</v>
      </c>
      <c r="F50" s="2" t="s">
        <v>24</v>
      </c>
      <c r="G50" s="4">
        <v>4453.43</v>
      </c>
      <c r="H50" s="3">
        <v>1799408578</v>
      </c>
      <c r="I50" s="14">
        <v>0</v>
      </c>
      <c r="J50" s="4">
        <v>0</v>
      </c>
      <c r="K50" s="4">
        <v>-28</v>
      </c>
      <c r="L50" s="4">
        <v>-914.9</v>
      </c>
      <c r="M50" s="4">
        <v>18825.5</v>
      </c>
      <c r="N50" s="16" t="s">
        <v>58</v>
      </c>
      <c r="O50" s="16"/>
    </row>
    <row r="51" spans="1:15" ht="15" customHeight="1" x14ac:dyDescent="0.3">
      <c r="A51" s="5" t="s">
        <v>29</v>
      </c>
      <c r="B51" s="6">
        <v>1616331805</v>
      </c>
      <c r="C51" s="5" t="s">
        <v>22</v>
      </c>
      <c r="D51" s="5" t="s">
        <v>23</v>
      </c>
      <c r="E51" s="5" t="s">
        <v>78</v>
      </c>
      <c r="F51" s="5" t="s">
        <v>24</v>
      </c>
      <c r="G51" s="7">
        <v>4387.75</v>
      </c>
      <c r="H51" s="6">
        <v>1802146004</v>
      </c>
      <c r="I51" s="15">
        <v>0</v>
      </c>
      <c r="J51" s="7">
        <v>0</v>
      </c>
      <c r="K51" s="7">
        <v>0</v>
      </c>
      <c r="L51" s="7">
        <v>0</v>
      </c>
      <c r="M51" s="7">
        <v>18825.5</v>
      </c>
      <c r="N51" s="17" t="s">
        <v>55</v>
      </c>
      <c r="O51" s="17"/>
    </row>
    <row r="52" spans="1:15" ht="15" customHeight="1" x14ac:dyDescent="0.3">
      <c r="A52" s="2" t="s">
        <v>30</v>
      </c>
      <c r="B52" s="3">
        <v>1616817068</v>
      </c>
      <c r="C52" s="2" t="s">
        <v>22</v>
      </c>
      <c r="D52" s="2" t="s">
        <v>27</v>
      </c>
      <c r="E52" s="2" t="s">
        <v>79</v>
      </c>
      <c r="F52" s="2" t="s">
        <v>24</v>
      </c>
      <c r="G52" s="4">
        <v>4462.29</v>
      </c>
      <c r="H52" s="3">
        <v>1802647453</v>
      </c>
      <c r="I52" s="14">
        <v>0</v>
      </c>
      <c r="J52" s="4">
        <v>0</v>
      </c>
      <c r="K52" s="4">
        <v>0</v>
      </c>
      <c r="L52" s="4">
        <v>745.4</v>
      </c>
      <c r="M52" s="4">
        <v>19570.900000000001</v>
      </c>
      <c r="N52" s="16" t="s">
        <v>59</v>
      </c>
      <c r="O52" s="16"/>
    </row>
    <row r="53" spans="1:15" ht="15" customHeight="1" x14ac:dyDescent="0.3">
      <c r="A53" s="5" t="s">
        <v>31</v>
      </c>
      <c r="B53" s="6">
        <v>1618567212</v>
      </c>
      <c r="C53" s="5" t="s">
        <v>22</v>
      </c>
      <c r="D53" s="5" t="s">
        <v>23</v>
      </c>
      <c r="E53" s="5" t="s">
        <v>78</v>
      </c>
      <c r="F53" s="5" t="s">
        <v>24</v>
      </c>
      <c r="G53" s="7">
        <v>4540.58</v>
      </c>
      <c r="H53" s="6">
        <v>1804615216</v>
      </c>
      <c r="I53" s="15">
        <v>0</v>
      </c>
      <c r="J53" s="7">
        <v>0</v>
      </c>
      <c r="K53" s="7">
        <v>0</v>
      </c>
      <c r="L53" s="7">
        <v>0</v>
      </c>
      <c r="M53" s="7">
        <v>19570.900000000001</v>
      </c>
      <c r="N53" s="17" t="s">
        <v>60</v>
      </c>
      <c r="O53" s="17"/>
    </row>
    <row r="54" spans="1:15" ht="15" customHeight="1" x14ac:dyDescent="0.3">
      <c r="A54" s="2" t="s">
        <v>32</v>
      </c>
      <c r="B54" s="3">
        <v>1619677204</v>
      </c>
      <c r="C54" s="2" t="s">
        <v>22</v>
      </c>
      <c r="D54" s="2" t="s">
        <v>27</v>
      </c>
      <c r="E54" s="2" t="s">
        <v>79</v>
      </c>
      <c r="F54" s="2" t="s">
        <v>24</v>
      </c>
      <c r="G54" s="4">
        <v>4560.01</v>
      </c>
      <c r="H54" s="3">
        <v>1805832138</v>
      </c>
      <c r="I54" s="14">
        <v>0</v>
      </c>
      <c r="J54" s="4">
        <v>0</v>
      </c>
      <c r="K54" s="4">
        <v>0</v>
      </c>
      <c r="L54" s="4">
        <v>194.3</v>
      </c>
      <c r="M54" s="4">
        <v>19765.2</v>
      </c>
      <c r="N54" s="16" t="s">
        <v>61</v>
      </c>
      <c r="O54" s="16"/>
    </row>
    <row r="55" spans="1:15" ht="15" customHeight="1" x14ac:dyDescent="0.3">
      <c r="A55" s="5" t="s">
        <v>33</v>
      </c>
      <c r="B55" s="6">
        <v>1622377603</v>
      </c>
      <c r="C55" s="5" t="s">
        <v>22</v>
      </c>
      <c r="D55" s="5" t="s">
        <v>27</v>
      </c>
      <c r="E55" s="5" t="s">
        <v>78</v>
      </c>
      <c r="F55" s="5" t="s">
        <v>24</v>
      </c>
      <c r="G55" s="7">
        <v>4448.6000000000004</v>
      </c>
      <c r="H55" s="6">
        <v>1808715595</v>
      </c>
      <c r="I55" s="15">
        <v>0</v>
      </c>
      <c r="J55" s="7">
        <v>0</v>
      </c>
      <c r="K55" s="7">
        <v>0</v>
      </c>
      <c r="L55" s="7">
        <v>0</v>
      </c>
      <c r="M55" s="7">
        <v>19765.2</v>
      </c>
      <c r="N55" s="17" t="s">
        <v>56</v>
      </c>
      <c r="O55" s="17"/>
    </row>
    <row r="56" spans="1:15" ht="15" customHeight="1" x14ac:dyDescent="0.3">
      <c r="A56" s="2" t="s">
        <v>34</v>
      </c>
      <c r="B56" s="3">
        <v>1622853972</v>
      </c>
      <c r="C56" s="2" t="s">
        <v>22</v>
      </c>
      <c r="D56" s="2" t="s">
        <v>23</v>
      </c>
      <c r="E56" s="2" t="s">
        <v>79</v>
      </c>
      <c r="F56" s="2" t="s">
        <v>24</v>
      </c>
      <c r="G56" s="4">
        <v>4483.4399999999996</v>
      </c>
      <c r="H56" s="3">
        <v>1809242747</v>
      </c>
      <c r="I56" s="14">
        <v>0</v>
      </c>
      <c r="J56" s="4">
        <v>0</v>
      </c>
      <c r="K56" s="4">
        <v>0</v>
      </c>
      <c r="L56" s="4">
        <v>-348.4</v>
      </c>
      <c r="M56" s="4">
        <v>19416.8</v>
      </c>
      <c r="N56" s="16" t="s">
        <v>62</v>
      </c>
      <c r="O56" s="16"/>
    </row>
    <row r="57" spans="1:15" ht="15" customHeight="1" x14ac:dyDescent="0.3">
      <c r="A57" s="5" t="s">
        <v>35</v>
      </c>
      <c r="B57" s="6">
        <v>1623626804</v>
      </c>
      <c r="C57" s="5" t="s">
        <v>22</v>
      </c>
      <c r="D57" s="5" t="s">
        <v>23</v>
      </c>
      <c r="E57" s="5" t="s">
        <v>78</v>
      </c>
      <c r="F57" s="5" t="s">
        <v>24</v>
      </c>
      <c r="G57" s="7">
        <v>4519.9799999999996</v>
      </c>
      <c r="H57" s="6">
        <v>1810100577</v>
      </c>
      <c r="I57" s="15">
        <v>0</v>
      </c>
      <c r="J57" s="7">
        <v>0</v>
      </c>
      <c r="K57" s="7">
        <v>0</v>
      </c>
      <c r="L57" s="7">
        <v>0</v>
      </c>
      <c r="M57" s="7">
        <v>19416.8</v>
      </c>
      <c r="N57" s="17" t="s">
        <v>60</v>
      </c>
      <c r="O57" s="17"/>
    </row>
    <row r="58" spans="1:15" ht="15" customHeight="1" x14ac:dyDescent="0.3">
      <c r="A58" s="2" t="s">
        <v>36</v>
      </c>
      <c r="B58" s="3">
        <v>1624311747</v>
      </c>
      <c r="C58" s="2" t="s">
        <v>22</v>
      </c>
      <c r="D58" s="2" t="s">
        <v>27</v>
      </c>
      <c r="E58" s="2" t="s">
        <v>79</v>
      </c>
      <c r="F58" s="2" t="s">
        <v>24</v>
      </c>
      <c r="G58" s="4">
        <v>4516.8500000000004</v>
      </c>
      <c r="H58" s="3">
        <v>1810839162</v>
      </c>
      <c r="I58" s="14">
        <v>0</v>
      </c>
      <c r="J58" s="4">
        <v>0</v>
      </c>
      <c r="K58" s="4">
        <v>0</v>
      </c>
      <c r="L58" s="4">
        <v>-31.3</v>
      </c>
      <c r="M58" s="4">
        <v>19385.5</v>
      </c>
      <c r="N58" s="16" t="s">
        <v>63</v>
      </c>
      <c r="O58" s="16"/>
    </row>
    <row r="59" spans="1:15" ht="15" customHeight="1" x14ac:dyDescent="0.3">
      <c r="A59" s="5" t="s">
        <v>37</v>
      </c>
      <c r="B59" s="6">
        <v>1625444197</v>
      </c>
      <c r="C59" s="5" t="s">
        <v>22</v>
      </c>
      <c r="D59" s="5" t="s">
        <v>27</v>
      </c>
      <c r="E59" s="5" t="s">
        <v>78</v>
      </c>
      <c r="F59" s="5" t="s">
        <v>24</v>
      </c>
      <c r="G59" s="7">
        <v>4474.16</v>
      </c>
      <c r="H59" s="6">
        <v>1812066767</v>
      </c>
      <c r="I59" s="15">
        <v>0</v>
      </c>
      <c r="J59" s="7">
        <v>0</v>
      </c>
      <c r="K59" s="7">
        <v>0</v>
      </c>
      <c r="L59" s="7">
        <v>0</v>
      </c>
      <c r="M59" s="7">
        <v>19385.5</v>
      </c>
      <c r="N59" s="17" t="s">
        <v>56</v>
      </c>
      <c r="O59" s="17"/>
    </row>
    <row r="60" spans="1:15" ht="15" customHeight="1" x14ac:dyDescent="0.3">
      <c r="A60" s="2" t="s">
        <v>38</v>
      </c>
      <c r="B60" s="3">
        <v>1627708321</v>
      </c>
      <c r="C60" s="2" t="s">
        <v>22</v>
      </c>
      <c r="D60" s="2" t="s">
        <v>23</v>
      </c>
      <c r="E60" s="2" t="s">
        <v>79</v>
      </c>
      <c r="F60" s="2" t="s">
        <v>24</v>
      </c>
      <c r="G60" s="4">
        <v>4452.7700000000004</v>
      </c>
      <c r="H60" s="3">
        <v>1814581572</v>
      </c>
      <c r="I60" s="14">
        <v>0</v>
      </c>
      <c r="J60" s="4">
        <v>0</v>
      </c>
      <c r="K60" s="4">
        <v>7.47</v>
      </c>
      <c r="L60" s="4">
        <v>213.9</v>
      </c>
      <c r="M60" s="4">
        <v>19606.87</v>
      </c>
      <c r="N60" s="16" t="s">
        <v>64</v>
      </c>
      <c r="O60" s="16"/>
    </row>
    <row r="61" spans="1:15" ht="15" customHeight="1" x14ac:dyDescent="0.3">
      <c r="A61" s="5" t="s">
        <v>39</v>
      </c>
      <c r="B61" s="6">
        <v>1628971626</v>
      </c>
      <c r="C61" s="5" t="s">
        <v>22</v>
      </c>
      <c r="D61" s="5" t="s">
        <v>23</v>
      </c>
      <c r="E61" s="5" t="s">
        <v>78</v>
      </c>
      <c r="F61" s="5" t="s">
        <v>24</v>
      </c>
      <c r="G61" s="7">
        <v>4513.6899999999996</v>
      </c>
      <c r="H61" s="6">
        <v>1816014416</v>
      </c>
      <c r="I61" s="15">
        <v>0</v>
      </c>
      <c r="J61" s="7">
        <v>0</v>
      </c>
      <c r="K61" s="7">
        <v>0</v>
      </c>
      <c r="L61" s="7">
        <v>0</v>
      </c>
      <c r="M61" s="7">
        <v>19606.87</v>
      </c>
      <c r="N61" s="17" t="s">
        <v>60</v>
      </c>
      <c r="O61" s="17"/>
    </row>
    <row r="62" spans="1:15" ht="15" customHeight="1" x14ac:dyDescent="0.3">
      <c r="A62" s="2" t="s">
        <v>40</v>
      </c>
      <c r="B62" s="3">
        <v>1629424325</v>
      </c>
      <c r="C62" s="2" t="s">
        <v>22</v>
      </c>
      <c r="D62" s="2" t="s">
        <v>27</v>
      </c>
      <c r="E62" s="2" t="s">
        <v>79</v>
      </c>
      <c r="F62" s="2" t="s">
        <v>24</v>
      </c>
      <c r="G62" s="4">
        <v>4478.68</v>
      </c>
      <c r="H62" s="3">
        <v>1816502542</v>
      </c>
      <c r="I62" s="14">
        <v>0</v>
      </c>
      <c r="J62" s="4">
        <v>0</v>
      </c>
      <c r="K62" s="4">
        <v>0</v>
      </c>
      <c r="L62" s="4">
        <v>-350.1</v>
      </c>
      <c r="M62" s="4">
        <v>19256.77</v>
      </c>
      <c r="N62" s="16" t="s">
        <v>65</v>
      </c>
      <c r="O62" s="16"/>
    </row>
    <row r="63" spans="1:15" ht="15" customHeight="1" x14ac:dyDescent="0.3">
      <c r="A63" s="5" t="s">
        <v>41</v>
      </c>
      <c r="B63" s="6">
        <v>1630070270</v>
      </c>
      <c r="C63" s="5" t="s">
        <v>22</v>
      </c>
      <c r="D63" s="5" t="s">
        <v>27</v>
      </c>
      <c r="E63" s="5" t="s">
        <v>78</v>
      </c>
      <c r="F63" s="5" t="s">
        <v>24</v>
      </c>
      <c r="G63" s="7">
        <v>4461.03</v>
      </c>
      <c r="H63" s="6">
        <v>1817188416</v>
      </c>
      <c r="I63" s="15">
        <v>0</v>
      </c>
      <c r="J63" s="7">
        <v>0</v>
      </c>
      <c r="K63" s="7">
        <v>0</v>
      </c>
      <c r="L63" s="7">
        <v>0</v>
      </c>
      <c r="M63" s="7">
        <v>19256.77</v>
      </c>
      <c r="N63" s="17" t="s">
        <v>56</v>
      </c>
      <c r="O63" s="17"/>
    </row>
    <row r="64" spans="1:15" ht="15" customHeight="1" x14ac:dyDescent="0.3">
      <c r="A64" s="2" t="s">
        <v>42</v>
      </c>
      <c r="B64" s="3">
        <v>1630406965</v>
      </c>
      <c r="C64" s="2" t="s">
        <v>22</v>
      </c>
      <c r="D64" s="2" t="s">
        <v>23</v>
      </c>
      <c r="E64" s="2" t="s">
        <v>79</v>
      </c>
      <c r="F64" s="2" t="s">
        <v>24</v>
      </c>
      <c r="G64" s="4">
        <v>4443.87</v>
      </c>
      <c r="H64" s="3">
        <v>1817544034</v>
      </c>
      <c r="I64" s="14">
        <v>0</v>
      </c>
      <c r="J64" s="4">
        <v>0</v>
      </c>
      <c r="K64" s="4">
        <v>0</v>
      </c>
      <c r="L64" s="4">
        <v>171.6</v>
      </c>
      <c r="M64" s="4">
        <v>19428.37</v>
      </c>
      <c r="N64" s="16" t="s">
        <v>66</v>
      </c>
      <c r="O64" s="16"/>
    </row>
    <row r="65" spans="1:15" ht="15" customHeight="1" x14ac:dyDescent="0.3">
      <c r="A65" s="5" t="s">
        <v>43</v>
      </c>
      <c r="B65" s="6">
        <v>1631441066</v>
      </c>
      <c r="C65" s="5" t="s">
        <v>22</v>
      </c>
      <c r="D65" s="5" t="s">
        <v>27</v>
      </c>
      <c r="E65" s="5" t="s">
        <v>78</v>
      </c>
      <c r="F65" s="5" t="s">
        <v>24</v>
      </c>
      <c r="G65" s="7">
        <v>4403.1000000000004</v>
      </c>
      <c r="H65" s="6">
        <v>1818611476</v>
      </c>
      <c r="I65" s="15">
        <v>0</v>
      </c>
      <c r="J65" s="7">
        <v>0</v>
      </c>
      <c r="K65" s="7">
        <v>0</v>
      </c>
      <c r="L65" s="7">
        <v>0</v>
      </c>
      <c r="M65" s="7">
        <v>19428.37</v>
      </c>
      <c r="N65" s="17" t="s">
        <v>56</v>
      </c>
      <c r="O65" s="17"/>
    </row>
    <row r="66" spans="1:15" ht="15" customHeight="1" x14ac:dyDescent="0.3">
      <c r="A66" s="2" t="s">
        <v>44</v>
      </c>
      <c r="B66" s="3">
        <v>1632363108</v>
      </c>
      <c r="C66" s="2" t="s">
        <v>22</v>
      </c>
      <c r="D66" s="2" t="s">
        <v>23</v>
      </c>
      <c r="E66" s="2" t="s">
        <v>79</v>
      </c>
      <c r="F66" s="2" t="s">
        <v>24</v>
      </c>
      <c r="G66" s="4">
        <v>4344.8999999999996</v>
      </c>
      <c r="H66" s="3">
        <v>1819567667</v>
      </c>
      <c r="I66" s="14">
        <v>0</v>
      </c>
      <c r="J66" s="4">
        <v>0</v>
      </c>
      <c r="K66" s="4">
        <v>0</v>
      </c>
      <c r="L66" s="4">
        <v>582</v>
      </c>
      <c r="M66" s="4">
        <v>20010.37</v>
      </c>
      <c r="N66" s="16" t="s">
        <v>67</v>
      </c>
      <c r="O66" s="16"/>
    </row>
    <row r="67" spans="1:15" ht="15" customHeight="1" x14ac:dyDescent="0.3">
      <c r="A67" s="5" t="s">
        <v>45</v>
      </c>
      <c r="B67" s="6">
        <v>1632669586</v>
      </c>
      <c r="C67" s="5" t="s">
        <v>22</v>
      </c>
      <c r="D67" s="5" t="s">
        <v>27</v>
      </c>
      <c r="E67" s="5" t="s">
        <v>78</v>
      </c>
      <c r="F67" s="5" t="s">
        <v>24</v>
      </c>
      <c r="G67" s="7">
        <v>4320.74</v>
      </c>
      <c r="H67" s="6">
        <v>1819919128</v>
      </c>
      <c r="I67" s="15">
        <v>0</v>
      </c>
      <c r="J67" s="7">
        <v>0</v>
      </c>
      <c r="K67" s="7">
        <v>0</v>
      </c>
      <c r="L67" s="7">
        <v>0</v>
      </c>
      <c r="M67" s="7">
        <v>20010.37</v>
      </c>
      <c r="N67" s="17" t="s">
        <v>56</v>
      </c>
      <c r="O67" s="17"/>
    </row>
    <row r="68" spans="1:15" ht="15" customHeight="1" x14ac:dyDescent="0.3">
      <c r="A68" s="2" t="s">
        <v>46</v>
      </c>
      <c r="B68" s="3">
        <v>1636225769</v>
      </c>
      <c r="C68" s="2" t="s">
        <v>22</v>
      </c>
      <c r="D68" s="2" t="s">
        <v>23</v>
      </c>
      <c r="E68" s="2" t="s">
        <v>79</v>
      </c>
      <c r="F68" s="2" t="s">
        <v>24</v>
      </c>
      <c r="G68" s="4">
        <v>4334.4799999999996</v>
      </c>
      <c r="H68" s="3">
        <v>1823702378</v>
      </c>
      <c r="I68" s="14">
        <v>0</v>
      </c>
      <c r="J68" s="4">
        <v>0</v>
      </c>
      <c r="K68" s="4">
        <v>2.4900000000000002</v>
      </c>
      <c r="L68" s="4">
        <v>-137.4</v>
      </c>
      <c r="M68" s="4">
        <v>19875.46</v>
      </c>
      <c r="N68" s="16" t="s">
        <v>68</v>
      </c>
      <c r="O68" s="16"/>
    </row>
    <row r="69" spans="1:15" ht="15" customHeight="1" x14ac:dyDescent="0.3">
      <c r="A69" s="5" t="s">
        <v>69</v>
      </c>
      <c r="B69" s="6">
        <v>1636225855</v>
      </c>
      <c r="C69" s="5" t="s">
        <v>22</v>
      </c>
      <c r="D69" s="5" t="s">
        <v>23</v>
      </c>
      <c r="E69" s="5" t="s">
        <v>78</v>
      </c>
      <c r="F69" s="5" t="s">
        <v>24</v>
      </c>
      <c r="G69" s="7">
        <v>4334.24</v>
      </c>
      <c r="H69" s="6">
        <v>1823702467</v>
      </c>
      <c r="I69" s="15">
        <v>0</v>
      </c>
      <c r="J69" s="7">
        <v>0</v>
      </c>
      <c r="K69" s="7">
        <v>0</v>
      </c>
      <c r="L69" s="7">
        <v>0</v>
      </c>
      <c r="M69" s="7">
        <v>19875.46</v>
      </c>
      <c r="N69" s="17" t="s">
        <v>55</v>
      </c>
      <c r="O69" s="17"/>
    </row>
    <row r="70" spans="1:15" ht="20" customHeight="1" x14ac:dyDescent="0.3">
      <c r="A70" s="19"/>
      <c r="B70" s="19"/>
      <c r="C70" s="19"/>
      <c r="D70" s="19"/>
      <c r="E70" s="19"/>
      <c r="F70" s="19"/>
      <c r="G70" s="19"/>
      <c r="H70" s="19"/>
      <c r="I70" s="8">
        <f>SUM(Sheet1!I46:I69)</f>
        <v>0</v>
      </c>
      <c r="J70" s="8">
        <f>SUM(Sheet1!J46:J69)</f>
        <v>0</v>
      </c>
      <c r="K70" s="8">
        <f>SUM(Sheet1!K46:K69)</f>
        <v>-18.04</v>
      </c>
      <c r="L70" s="8">
        <v>19893.5</v>
      </c>
      <c r="M70" s="8">
        <v>19875.46</v>
      </c>
      <c r="N70" s="19"/>
      <c r="O70" s="19"/>
    </row>
    <row r="71" spans="1:15" ht="25" customHeight="1" x14ac:dyDescent="0.3">
      <c r="A71" s="12" t="s">
        <v>80</v>
      </c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</row>
    <row r="72" spans="1:15" ht="20" customHeight="1" x14ac:dyDescent="0.3">
      <c r="A72" s="1" t="s">
        <v>10</v>
      </c>
      <c r="B72" s="1" t="s">
        <v>11</v>
      </c>
      <c r="C72" s="1" t="s">
        <v>12</v>
      </c>
      <c r="D72" s="1" t="s">
        <v>13</v>
      </c>
      <c r="E72" s="1" t="s">
        <v>14</v>
      </c>
      <c r="F72" s="1" t="s">
        <v>15</v>
      </c>
      <c r="G72" s="1" t="s">
        <v>16</v>
      </c>
      <c r="H72" s="1" t="s">
        <v>17</v>
      </c>
      <c r="I72" s="1" t="s">
        <v>81</v>
      </c>
      <c r="J72" s="13" t="s">
        <v>19</v>
      </c>
      <c r="K72" s="13"/>
      <c r="L72" s="1" t="s">
        <v>20</v>
      </c>
      <c r="M72" s="13" t="s">
        <v>51</v>
      </c>
      <c r="N72" s="13"/>
      <c r="O72" s="13"/>
    </row>
    <row r="73" spans="1:15" ht="15" customHeight="1" x14ac:dyDescent="0.3">
      <c r="A73" s="5" t="s">
        <v>69</v>
      </c>
      <c r="B73" s="6">
        <v>1823702467</v>
      </c>
      <c r="C73" s="5" t="s">
        <v>22</v>
      </c>
      <c r="D73" s="5" t="s">
        <v>23</v>
      </c>
      <c r="E73" s="5" t="s">
        <v>24</v>
      </c>
      <c r="F73" s="7">
        <v>4334.24</v>
      </c>
      <c r="G73" s="7">
        <v>4268.3900000000003</v>
      </c>
      <c r="H73" s="7">
        <v>4499.7</v>
      </c>
      <c r="I73" s="7">
        <v>4328.9399999999996</v>
      </c>
      <c r="J73" s="15">
        <v>-7</v>
      </c>
      <c r="K73" s="15"/>
      <c r="L73" s="7">
        <v>-53</v>
      </c>
      <c r="M73" s="17" t="s">
        <v>55</v>
      </c>
      <c r="N73" s="17"/>
      <c r="O73" s="17"/>
    </row>
    <row r="74" spans="1:15" ht="20" customHeight="1" x14ac:dyDescent="0.3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8">
        <f>SUM(Sheet1!K73:K73)</f>
        <v>0</v>
      </c>
      <c r="L74" s="8">
        <f>SUM(Sheet1!L73:L73)</f>
        <v>-53</v>
      </c>
      <c r="M74" s="19"/>
      <c r="N74" s="19"/>
      <c r="O74" s="19"/>
    </row>
    <row r="75" spans="1:15" ht="15" customHeight="1" x14ac:dyDescent="0.3">
      <c r="A75" s="17" t="s">
        <v>82</v>
      </c>
      <c r="B75" s="17"/>
      <c r="C75" s="17"/>
      <c r="D75" s="20">
        <v>19875.46</v>
      </c>
      <c r="E75" s="20"/>
      <c r="G75" s="17" t="s">
        <v>83</v>
      </c>
      <c r="H75" s="17"/>
      <c r="I75" s="17"/>
      <c r="J75" s="20">
        <v>19728.78</v>
      </c>
      <c r="K75" s="20"/>
    </row>
    <row r="76" spans="1:15" ht="15" customHeight="1" x14ac:dyDescent="0.3">
      <c r="A76" s="17" t="s">
        <v>84</v>
      </c>
      <c r="B76" s="17"/>
      <c r="C76" s="17"/>
      <c r="D76" s="20">
        <v>0</v>
      </c>
      <c r="E76" s="20"/>
      <c r="G76" s="17" t="s">
        <v>85</v>
      </c>
      <c r="H76" s="17"/>
      <c r="I76" s="17"/>
      <c r="J76" s="20">
        <v>86.68</v>
      </c>
      <c r="K76" s="20"/>
    </row>
    <row r="77" spans="1:15" ht="15" customHeight="1" x14ac:dyDescent="0.3">
      <c r="A77" s="17" t="s">
        <v>86</v>
      </c>
      <c r="B77" s="17"/>
      <c r="C77" s="17"/>
      <c r="D77" s="20">
        <v>-53</v>
      </c>
      <c r="E77" s="20"/>
      <c r="G77" s="17" t="s">
        <v>87</v>
      </c>
      <c r="H77" s="17"/>
      <c r="I77" s="17"/>
      <c r="J77" s="21">
        <v>228.60475299999999</v>
      </c>
      <c r="K77" s="21"/>
    </row>
    <row r="78" spans="1:15" ht="15" customHeight="1" x14ac:dyDescent="0.3">
      <c r="A78" s="17" t="s">
        <v>88</v>
      </c>
      <c r="B78" s="17"/>
      <c r="C78" s="17"/>
      <c r="D78" s="20">
        <v>19815.46</v>
      </c>
      <c r="E78" s="20"/>
    </row>
    <row r="99" spans="1:15" ht="25" customHeight="1" x14ac:dyDescent="0.3">
      <c r="A99" s="12" t="s">
        <v>89</v>
      </c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</row>
    <row r="100" spans="1:15" ht="15" customHeight="1" x14ac:dyDescent="0.3">
      <c r="A100" s="17" t="s">
        <v>90</v>
      </c>
      <c r="B100" s="17"/>
      <c r="C100" s="17"/>
      <c r="D100" s="20">
        <v>-124.54</v>
      </c>
      <c r="E100" s="17" t="s">
        <v>91</v>
      </c>
      <c r="F100" s="17"/>
      <c r="G100" s="17"/>
      <c r="H100" s="20">
        <v>1914.67</v>
      </c>
      <c r="I100" s="17" t="s">
        <v>92</v>
      </c>
      <c r="J100" s="17"/>
      <c r="K100" s="17"/>
      <c r="L100" s="20">
        <v>-2039.21</v>
      </c>
      <c r="M100" s="20"/>
      <c r="N100" s="20"/>
    </row>
    <row r="101" spans="1:15" ht="15" customHeight="1" x14ac:dyDescent="0.3">
      <c r="A101" s="17" t="s">
        <v>93</v>
      </c>
      <c r="B101" s="17"/>
      <c r="C101" s="17"/>
      <c r="D101" s="20">
        <v>0.93892699999999996</v>
      </c>
      <c r="E101" s="17" t="s">
        <v>94</v>
      </c>
      <c r="F101" s="17"/>
      <c r="G101" s="17"/>
      <c r="H101" s="20">
        <v>-11.321818</v>
      </c>
    </row>
    <row r="102" spans="1:15" ht="15" customHeight="1" x14ac:dyDescent="0.3">
      <c r="A102" s="17" t="s">
        <v>95</v>
      </c>
      <c r="B102" s="17"/>
      <c r="C102" s="17"/>
      <c r="D102" s="20">
        <v>-0.10603700000000001</v>
      </c>
      <c r="E102" s="17" t="s">
        <v>96</v>
      </c>
      <c r="F102" s="17"/>
      <c r="G102" s="17"/>
      <c r="H102" s="20">
        <v>-1.3016E-2</v>
      </c>
    </row>
    <row r="103" spans="1:15" ht="15" customHeight="1" x14ac:dyDescent="0.3">
      <c r="A103" s="17" t="s">
        <v>97</v>
      </c>
      <c r="B103" s="17"/>
      <c r="C103" s="17"/>
    </row>
    <row r="104" spans="1:15" ht="15" customHeight="1" x14ac:dyDescent="0.3">
      <c r="A104" s="17" t="s">
        <v>98</v>
      </c>
      <c r="B104" s="17"/>
      <c r="C104" s="17"/>
      <c r="D104" s="20">
        <v>1174.5</v>
      </c>
      <c r="E104" s="17" t="s">
        <v>99</v>
      </c>
      <c r="F104" s="17"/>
      <c r="G104" s="17"/>
      <c r="H104" s="22" t="s">
        <v>100</v>
      </c>
      <c r="I104" s="17" t="s">
        <v>101</v>
      </c>
      <c r="J104" s="17"/>
      <c r="K104" s="17"/>
      <c r="L104" s="22" t="s">
        <v>102</v>
      </c>
      <c r="M104" s="22"/>
      <c r="N104" s="22"/>
    </row>
    <row r="105" spans="1:15" ht="15" customHeight="1" x14ac:dyDescent="0.3">
      <c r="A105" s="17" t="s">
        <v>103</v>
      </c>
      <c r="B105" s="17"/>
      <c r="C105" s="17"/>
      <c r="D105" s="23">
        <v>11</v>
      </c>
      <c r="E105" s="17" t="s">
        <v>104</v>
      </c>
      <c r="F105" s="17"/>
      <c r="G105" s="17"/>
      <c r="H105" s="22" t="s">
        <v>105</v>
      </c>
      <c r="I105" s="17" t="s">
        <v>106</v>
      </c>
      <c r="J105" s="17"/>
      <c r="K105" s="17"/>
      <c r="L105" s="22" t="s">
        <v>107</v>
      </c>
      <c r="M105" s="22"/>
      <c r="N105" s="22"/>
    </row>
    <row r="106" spans="1:15" ht="15" customHeight="1" x14ac:dyDescent="0.3">
      <c r="E106" s="17" t="s">
        <v>108</v>
      </c>
      <c r="F106" s="17"/>
      <c r="G106" s="17"/>
      <c r="H106" s="22" t="s">
        <v>109</v>
      </c>
      <c r="I106" s="17" t="s">
        <v>110</v>
      </c>
      <c r="J106" s="17"/>
      <c r="K106" s="17"/>
      <c r="L106" s="22" t="s">
        <v>111</v>
      </c>
      <c r="M106" s="22"/>
      <c r="N106" s="22"/>
    </row>
    <row r="107" spans="1:15" ht="15" customHeight="1" x14ac:dyDescent="0.3">
      <c r="E107" s="17" t="s">
        <v>112</v>
      </c>
      <c r="F107" s="17"/>
      <c r="G107" s="17"/>
      <c r="H107" s="20">
        <v>745.4</v>
      </c>
      <c r="I107" s="17" t="s">
        <v>113</v>
      </c>
      <c r="J107" s="17"/>
      <c r="K107" s="17"/>
      <c r="L107" s="20">
        <v>-942.9</v>
      </c>
      <c r="M107" s="20"/>
      <c r="N107" s="20"/>
    </row>
    <row r="108" spans="1:15" ht="15" customHeight="1" x14ac:dyDescent="0.3">
      <c r="E108" s="17" t="s">
        <v>114</v>
      </c>
      <c r="F108" s="17"/>
      <c r="G108" s="17"/>
      <c r="H108" s="20">
        <v>382.93400000000003</v>
      </c>
      <c r="I108" s="17" t="s">
        <v>115</v>
      </c>
      <c r="J108" s="17"/>
      <c r="K108" s="17"/>
      <c r="L108" s="20">
        <v>-339.86833300000001</v>
      </c>
      <c r="M108" s="20"/>
      <c r="N108" s="20"/>
    </row>
    <row r="109" spans="1:15" ht="15" customHeight="1" x14ac:dyDescent="0.3">
      <c r="E109" s="17" t="s">
        <v>116</v>
      </c>
      <c r="F109" s="17"/>
      <c r="G109" s="17"/>
      <c r="H109" s="22" t="s">
        <v>117</v>
      </c>
      <c r="I109" s="17" t="s">
        <v>118</v>
      </c>
      <c r="J109" s="17"/>
      <c r="K109" s="17"/>
      <c r="L109" s="22" t="s">
        <v>119</v>
      </c>
      <c r="M109" s="22"/>
      <c r="N109" s="22"/>
    </row>
    <row r="110" spans="1:15" ht="15" customHeight="1" x14ac:dyDescent="0.3">
      <c r="E110" s="17" t="s">
        <v>120</v>
      </c>
      <c r="F110" s="17"/>
      <c r="G110" s="17"/>
      <c r="H110" s="22" t="s">
        <v>121</v>
      </c>
      <c r="I110" s="17" t="s">
        <v>122</v>
      </c>
      <c r="J110" s="17"/>
      <c r="K110" s="17"/>
      <c r="L110" s="22" t="s">
        <v>123</v>
      </c>
      <c r="M110" s="22"/>
      <c r="N110" s="22"/>
    </row>
    <row r="111" spans="1:15" ht="15" customHeight="1" x14ac:dyDescent="0.3">
      <c r="E111" s="17" t="s">
        <v>124</v>
      </c>
      <c r="F111" s="17"/>
      <c r="G111" s="17"/>
      <c r="H111" s="23">
        <v>2</v>
      </c>
      <c r="I111" s="17" t="s">
        <v>125</v>
      </c>
      <c r="J111" s="17"/>
      <c r="K111" s="17"/>
      <c r="L111" s="23">
        <v>2</v>
      </c>
      <c r="M111" s="23"/>
      <c r="N111" s="23"/>
    </row>
  </sheetData>
  <mergeCells count="197">
    <mergeCell ref="E110:G110"/>
    <mergeCell ref="H110"/>
    <mergeCell ref="I110:K110"/>
    <mergeCell ref="L110:N110"/>
    <mergeCell ref="E111:G111"/>
    <mergeCell ref="H111"/>
    <mergeCell ref="I111:K111"/>
    <mergeCell ref="L111:N111"/>
    <mergeCell ref="E107:G107"/>
    <mergeCell ref="H107"/>
    <mergeCell ref="I107:K107"/>
    <mergeCell ref="L107:N107"/>
    <mergeCell ref="E108:G108"/>
    <mergeCell ref="H108"/>
    <mergeCell ref="I108:K108"/>
    <mergeCell ref="L108:N108"/>
    <mergeCell ref="E109:G109"/>
    <mergeCell ref="H109"/>
    <mergeCell ref="I109:K109"/>
    <mergeCell ref="L109:N109"/>
    <mergeCell ref="I104:K104"/>
    <mergeCell ref="L104:N104"/>
    <mergeCell ref="A105:C105"/>
    <mergeCell ref="D105"/>
    <mergeCell ref="E105:G105"/>
    <mergeCell ref="H105"/>
    <mergeCell ref="I105:K105"/>
    <mergeCell ref="L105:N105"/>
    <mergeCell ref="E106:G106"/>
    <mergeCell ref="H106"/>
    <mergeCell ref="I106:K106"/>
    <mergeCell ref="L106:N106"/>
    <mergeCell ref="A102:C102"/>
    <mergeCell ref="D102"/>
    <mergeCell ref="E102:G102"/>
    <mergeCell ref="H102"/>
    <mergeCell ref="A103:C103"/>
    <mergeCell ref="A104:C104"/>
    <mergeCell ref="D104"/>
    <mergeCell ref="E104:G104"/>
    <mergeCell ref="H104"/>
    <mergeCell ref="A99:O99"/>
    <mergeCell ref="A100:C100"/>
    <mergeCell ref="D100"/>
    <mergeCell ref="E100:G100"/>
    <mergeCell ref="H100"/>
    <mergeCell ref="I100:K100"/>
    <mergeCell ref="L100:N100"/>
    <mergeCell ref="A101:C101"/>
    <mergeCell ref="D101"/>
    <mergeCell ref="E101:G101"/>
    <mergeCell ref="H101"/>
    <mergeCell ref="A76:C76"/>
    <mergeCell ref="D76:E76"/>
    <mergeCell ref="G76:I76"/>
    <mergeCell ref="J76:K76"/>
    <mergeCell ref="A77:C77"/>
    <mergeCell ref="D77:E77"/>
    <mergeCell ref="G77:I77"/>
    <mergeCell ref="J77:K77"/>
    <mergeCell ref="A78:C78"/>
    <mergeCell ref="D78:E78"/>
    <mergeCell ref="J72:K72"/>
    <mergeCell ref="M72:O72"/>
    <mergeCell ref="J73:K73"/>
    <mergeCell ref="M73:O73"/>
    <mergeCell ref="A74:J74"/>
    <mergeCell ref="M74:O74"/>
    <mergeCell ref="A75:C75"/>
    <mergeCell ref="D75:E75"/>
    <mergeCell ref="G75:I75"/>
    <mergeCell ref="J75:K75"/>
    <mergeCell ref="I67"/>
    <mergeCell ref="N67:O67"/>
    <mergeCell ref="I68"/>
    <mergeCell ref="N68:O68"/>
    <mergeCell ref="I69"/>
    <mergeCell ref="N69:O69"/>
    <mergeCell ref="A70:H70"/>
    <mergeCell ref="N70:O70"/>
    <mergeCell ref="A71:O71"/>
    <mergeCell ref="I62"/>
    <mergeCell ref="N62:O62"/>
    <mergeCell ref="I63"/>
    <mergeCell ref="N63:O63"/>
    <mergeCell ref="I64"/>
    <mergeCell ref="N64:O64"/>
    <mergeCell ref="I65"/>
    <mergeCell ref="N65:O65"/>
    <mergeCell ref="I66"/>
    <mergeCell ref="N66:O66"/>
    <mergeCell ref="I57"/>
    <mergeCell ref="N57:O57"/>
    <mergeCell ref="I58"/>
    <mergeCell ref="N58:O58"/>
    <mergeCell ref="I59"/>
    <mergeCell ref="N59:O59"/>
    <mergeCell ref="I60"/>
    <mergeCell ref="N60:O60"/>
    <mergeCell ref="I61"/>
    <mergeCell ref="N61:O61"/>
    <mergeCell ref="I52"/>
    <mergeCell ref="N52:O52"/>
    <mergeCell ref="I53"/>
    <mergeCell ref="N53:O53"/>
    <mergeCell ref="I54"/>
    <mergeCell ref="N54:O54"/>
    <mergeCell ref="I55"/>
    <mergeCell ref="N55:O55"/>
    <mergeCell ref="I56"/>
    <mergeCell ref="N56:O56"/>
    <mergeCell ref="I47"/>
    <mergeCell ref="N47:O47"/>
    <mergeCell ref="I48"/>
    <mergeCell ref="N48:O48"/>
    <mergeCell ref="I49"/>
    <mergeCell ref="N49:O49"/>
    <mergeCell ref="I50"/>
    <mergeCell ref="N50:O50"/>
    <mergeCell ref="I51"/>
    <mergeCell ref="N51:O51"/>
    <mergeCell ref="J42:K42"/>
    <mergeCell ref="L42:O42"/>
    <mergeCell ref="J43:K43"/>
    <mergeCell ref="L43:O43"/>
    <mergeCell ref="A44:O44"/>
    <mergeCell ref="J45"/>
    <mergeCell ref="N45:O45"/>
    <mergeCell ref="I46"/>
    <mergeCell ref="N46:O46"/>
    <mergeCell ref="J37:K37"/>
    <mergeCell ref="L37:O37"/>
    <mergeCell ref="J38:K38"/>
    <mergeCell ref="L38:O38"/>
    <mergeCell ref="J39:K39"/>
    <mergeCell ref="L39:O39"/>
    <mergeCell ref="J40:K40"/>
    <mergeCell ref="L40:O40"/>
    <mergeCell ref="J41:K41"/>
    <mergeCell ref="L41:O41"/>
    <mergeCell ref="J32:K32"/>
    <mergeCell ref="L32:O32"/>
    <mergeCell ref="J33:K33"/>
    <mergeCell ref="L33:O33"/>
    <mergeCell ref="J34:K34"/>
    <mergeCell ref="L34:O34"/>
    <mergeCell ref="J35:K35"/>
    <mergeCell ref="L35:O35"/>
    <mergeCell ref="J36:K36"/>
    <mergeCell ref="L36:O36"/>
    <mergeCell ref="J27:K27"/>
    <mergeCell ref="L27:O27"/>
    <mergeCell ref="J28:K28"/>
    <mergeCell ref="L28:O28"/>
    <mergeCell ref="J29:K29"/>
    <mergeCell ref="L29:O29"/>
    <mergeCell ref="J30:K30"/>
    <mergeCell ref="L30:O30"/>
    <mergeCell ref="J31:K31"/>
    <mergeCell ref="L31:O31"/>
    <mergeCell ref="J22:K22"/>
    <mergeCell ref="L22:O22"/>
    <mergeCell ref="J23:K23"/>
    <mergeCell ref="L23:O23"/>
    <mergeCell ref="J24:K24"/>
    <mergeCell ref="L24:O24"/>
    <mergeCell ref="J25:K25"/>
    <mergeCell ref="L25:O25"/>
    <mergeCell ref="J26:K26"/>
    <mergeCell ref="L26:O26"/>
    <mergeCell ref="M15:O15"/>
    <mergeCell ref="M16:O16"/>
    <mergeCell ref="M17:O17"/>
    <mergeCell ref="M18:O18"/>
    <mergeCell ref="A19:O19"/>
    <mergeCell ref="J20:K20"/>
    <mergeCell ref="L20:O20"/>
    <mergeCell ref="J21:K21"/>
    <mergeCell ref="L21:O21"/>
    <mergeCell ref="A6:O6"/>
    <mergeCell ref="M7:O7"/>
    <mergeCell ref="M8:O8"/>
    <mergeCell ref="M9:O9"/>
    <mergeCell ref="M10:O10"/>
    <mergeCell ref="M11:O11"/>
    <mergeCell ref="M12:O12"/>
    <mergeCell ref="M13:O13"/>
    <mergeCell ref="M14:O14"/>
    <mergeCell ref="A1:O1"/>
    <mergeCell ref="A2:C2"/>
    <mergeCell ref="D2:O2"/>
    <mergeCell ref="A3:C3"/>
    <mergeCell ref="D3:O3"/>
    <mergeCell ref="A4:C4"/>
    <mergeCell ref="D4:O4"/>
    <mergeCell ref="A5:C5"/>
    <mergeCell ref="D5:O5"/>
  </mergeCells>
  <pageMargins left="0.7" right="0.7" top="0.7" bottom="0.7" header="0.3" footer="0.3"/>
  <pageSetup paperSize="9" orientation="landscape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106143045:Dresswell Perfumes</dc:subject>
  <dc:creator>FBS Markets Inc.</dc:creator>
  <dc:description>Histórico do relatório de negociação contém as posições do cliente e o histórico das ordens</dc:description>
  <cp:lastModifiedBy>Glaucio souza</cp:lastModifiedBy>
  <dcterms:created xsi:type="dcterms:W3CDTF">2026-06-08T18:19:00Z</dcterms:created>
  <dcterms:modified xsi:type="dcterms:W3CDTF">2026-06-08T21:19:40Z</dcterms:modified>
  <cp:category>Reports</cp:category>
</cp:coreProperties>
</file>