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\Downloads\"/>
    </mc:Choice>
  </mc:AlternateContent>
  <bookViews>
    <workbookView xWindow="180" yWindow="450" windowWidth="15000" windowHeight="76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69" i="1" l="1"/>
  <c r="K69" i="1"/>
  <c r="K65" i="1"/>
  <c r="J65" i="1"/>
  <c r="I65" i="1"/>
</calcChain>
</file>

<file path=xl/sharedStrings.xml><?xml version="1.0" encoding="utf-8"?>
<sst xmlns="http://schemas.openxmlformats.org/spreadsheetml/2006/main" count="450" uniqueCount="129">
  <si>
    <t>Relatório do Histórico de Negociação</t>
  </si>
  <si>
    <t>Nome:</t>
  </si>
  <si>
    <t>Glaucio souzas</t>
  </si>
  <si>
    <t>Conta:</t>
  </si>
  <si>
    <t>106143199 (USD, FBS-Demo, demo, Hedge)</t>
  </si>
  <si>
    <t>Empresa:</t>
  </si>
  <si>
    <t>FBS Markets Inc.</t>
  </si>
  <si>
    <t>Data:</t>
  </si>
  <si>
    <t>2026.06.08 18:18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</si>
  <si>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</si>
  <si>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</si>
  <si>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</si>
  <si>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</si>
  <si>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</si>
  <si>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</si>
  <si>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</si>
  <si>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</si>
  <si>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</si>
  <si>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</si>
  <si>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</si>
  <si>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</si>
  <si>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2026.05.21 20:35:49</t>
  </si>
  <si>
    <t>XAUUSD</t>
  </si>
  <si>
    <t>buy</t>
  </si>
  <si>
    <t>0.1</t>
  </si>
  <si>
    <t>2026.05.26 21:02:18</t>
  </si>
  <si>
    <t>2026.05.21 21:00:18</t>
  </si>
  <si>
    <t>sell</t>
  </si>
  <si>
    <t>2026.05.22 04:00:02</t>
  </si>
  <si>
    <t>2026.05.25 16:00:05</t>
  </si>
  <si>
    <t>BTCUSD</t>
  </si>
  <si>
    <t>0.01</t>
  </si>
  <si>
    <t>2026.05.27 01:13:03</t>
  </si>
  <si>
    <t>2026.05.25 17:00:01</t>
  </si>
  <si>
    <t>2026.05.25 19:00:01</t>
  </si>
  <si>
    <t>2026.05.26 03:52:30</t>
  </si>
  <si>
    <t>2026.05.25 19:00:25</t>
  </si>
  <si>
    <t>2026.05.26 04:39:38</t>
  </si>
  <si>
    <t>2026.05.25 20:00:25</t>
  </si>
  <si>
    <t>2026.05.26 04:34:30</t>
  </si>
  <si>
    <t>2026.05.27 01:00:03</t>
  </si>
  <si>
    <t>2026.05.28 06:16:36</t>
  </si>
  <si>
    <t>2026.06.04 02:37:28</t>
  </si>
  <si>
    <t>2026.06.04 05:52:13</t>
  </si>
  <si>
    <t>2026.06.04 20:58:04</t>
  </si>
  <si>
    <t>2026.06.05 15:52:39</t>
  </si>
  <si>
    <t>Ordens</t>
  </si>
  <si>
    <t>Horário da Abertura</t>
  </si>
  <si>
    <t>Ordem</t>
  </si>
  <si>
    <t>Estado</t>
  </si>
  <si>
    <t>Comentário</t>
  </si>
  <si>
    <t>0.1 / 0.1</t>
  </si>
  <si>
    <t>market</t>
  </si>
  <si>
    <t>filled</t>
  </si>
  <si>
    <t>BOT CLUSTER Long</t>
  </si>
  <si>
    <t>HYB RSI Short</t>
  </si>
  <si>
    <t>HYB Close</t>
  </si>
  <si>
    <t>0.01 / 0.01</t>
  </si>
  <si>
    <t>SMC_XGB_0.94</t>
  </si>
  <si>
    <t>SMC_XGB_0.79</t>
  </si>
  <si>
    <t>RB RSI S</t>
  </si>
  <si>
    <t>[tp 76621.99]</t>
  </si>
  <si>
    <t>[tp 4537.56]</t>
  </si>
  <si>
    <t>[tp 4532.40]</t>
  </si>
  <si>
    <t>[sl 4488.39]</t>
  </si>
  <si>
    <t>SMC_XGB_0.85</t>
  </si>
  <si>
    <t>[tp 75740.40]</t>
  </si>
  <si>
    <t>[tp 75724.15]</t>
  </si>
  <si>
    <t>[tp 74094.62]</t>
  </si>
  <si>
    <t>DeepSeek Auto</t>
  </si>
  <si>
    <t>[sl 4474.98]</t>
  </si>
  <si>
    <t>[sl 4423.87]</t>
  </si>
  <si>
    <t>2026.06.05 22:36:35</t>
  </si>
  <si>
    <t>Transações</t>
  </si>
  <si>
    <t>Oferta</t>
  </si>
  <si>
    <t>Direção</t>
  </si>
  <si>
    <t>Taxa</t>
  </si>
  <si>
    <t>Saldo</t>
  </si>
  <si>
    <t>2026.05.20 23:39:40</t>
  </si>
  <si>
    <t>balance</t>
  </si>
  <si>
    <t>Starting balance</t>
  </si>
  <si>
    <t>in</t>
  </si>
  <si>
    <t>out</t>
  </si>
  <si>
    <t>Posições Abertas</t>
  </si>
  <si>
    <t>Preço de Mercado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</si>
  <si>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</si>
  <si>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</si>
  <si>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</si>
  <si>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</si>
  <si>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</si>
  <si>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</si>
  <si>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</si>
  <si>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</si>
  <si>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</si>
  <si>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</si>
  <si>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</si>
  <si>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</si>
  <si>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</si>
  <si>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</si>
  <si>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</si>
  <si>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</si>
  <si>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</si>
  <si>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</si>
  <si>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1 330.28 (6.33%)</t>
  </si>
  <si>
    <t>Rebaixamento Relativo do Saldo :</t>
  </si>
  <si>
    <t>6.33% (1 330.28)</t>
  </si>
  <si>
    <t>Total de Negociações:</t>
  </si>
  <si>
    <t>Posições Vendidas (% e ganhos):</t>
  </si>
  <si>
    <t>8 (87.50%)</t>
  </si>
  <si>
    <t>Posições Compradas (% de ganhos):</t>
  </si>
  <si>
    <t>2 (0.00%)</t>
  </si>
  <si>
    <t>Negociações com Lucro (% of total):</t>
  </si>
  <si>
    <t>7 (70.00%)</t>
  </si>
  <si>
    <t>Negociações com Perda (% of total):</t>
  </si>
  <si>
    <t>3 (30.00%)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</si>
  <si>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</si>
  <si>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</si>
  <si>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</si>
  <si>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</si>
  <si>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</si>
  <si>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4 (1 010.19)</t>
  </si>
  <si>
    <t>Máximo perdas consecutivas ($):</t>
  </si>
  <si>
    <t>2 (-805.50)</t>
  </si>
  <si>
    <t>Máxima lucro consecutivo (contagem):</t>
  </si>
  <si>
    <t>1 010.19 (4)</t>
  </si>
  <si>
    <t>Máxima perda consecutiva (contagem):</t>
  </si>
  <si>
    <t>-805.50 (2)</t>
  </si>
  <si>
    <t>Média ganhos consecutivos:</t>
  </si>
  <si>
    <t>Média perdas consecutivas: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</si>
</sst>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;\-###0;0;"/>
    <numFmt numFmtId="165" formatCode="#\ ##0.00;\-#\ ##0.00;0.00;"/>
    <numFmt numFmtId="166" formatCode="#\ ##0.00%;\-#\ ##0.00%;0.00%;"/>
    <numFmt numFmtId="167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Sheet1!$A$43:$A$64</c:f>
              <c:strCache>
                <c:ptCount val="22"/>
                <c:pt idx="0">
                  <c:v>2026.05.20 23:39:40</c:v>
                </c:pt>
                <c:pt idx="1">
                  <c:v>2026.05.21 20:35:49</c:v>
                </c:pt>
                <c:pt idx="2">
                  <c:v>2026.05.21 21:00:18</c:v>
                </c:pt>
                <c:pt idx="3">
                  <c:v>2026.05.22 04:00:02</c:v>
                </c:pt>
                <c:pt idx="4">
                  <c:v>2026.05.25 16:00:05</c:v>
                </c:pt>
                <c:pt idx="5">
                  <c:v>2026.05.25 17:00:01</c:v>
                </c:pt>
                <c:pt idx="6">
                  <c:v>2026.05.25 19:00:01</c:v>
                </c:pt>
                <c:pt idx="7">
                  <c:v>2026.05.25 19:00:25</c:v>
                </c:pt>
                <c:pt idx="8">
                  <c:v>2026.05.25 20:00:25</c:v>
                </c:pt>
                <c:pt idx="9">
                  <c:v>2026.05.26 03:52:30</c:v>
                </c:pt>
                <c:pt idx="10">
                  <c:v>2026.05.26 04:34:30</c:v>
                </c:pt>
                <c:pt idx="11">
                  <c:v>2026.05.26 04:39:38</c:v>
                </c:pt>
                <c:pt idx="12">
                  <c:v>2026.05.26 21:02:18</c:v>
                </c:pt>
                <c:pt idx="13">
                  <c:v>2026.05.27 01:00:03</c:v>
                </c:pt>
                <c:pt idx="14">
                  <c:v>2026.05.27 01:13:03</c:v>
                </c:pt>
                <c:pt idx="15">
                  <c:v>2026.05.27 01:13:03</c:v>
                </c:pt>
                <c:pt idx="16">
                  <c:v>2026.05.28 06:16:36</c:v>
                </c:pt>
                <c:pt idx="17">
                  <c:v>2026.06.04 02:37:28</c:v>
                </c:pt>
                <c:pt idx="18">
                  <c:v>2026.06.04 05:52:13</c:v>
                </c:pt>
                <c:pt idx="19">
                  <c:v>2026.06.04 20:58:04</c:v>
                </c:pt>
                <c:pt idx="20">
                  <c:v>2026.06.05 15:52:39</c:v>
                </c:pt>
                <c:pt idx="21">
                  <c:v>2026.06.05 22:36:35</c:v>
                </c:pt>
              </c:strCache>
            </c:strRef>
          </c:cat>
          <c:val>
            <c:numRef>
              <c:f>Sheet1!$M$43:$M$64</c:f>
              <c:numCache>
                <c:formatCode>#\ ##0.00;\-#\ ##0.00;0.00;</c:formatCode>
                <c:ptCount val="2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20256.29</c:v>
                </c:pt>
                <c:pt idx="4">
                  <c:v>20256.29</c:v>
                </c:pt>
                <c:pt idx="5">
                  <c:v>20256.29</c:v>
                </c:pt>
                <c:pt idx="6">
                  <c:v>20256.29</c:v>
                </c:pt>
                <c:pt idx="7">
                  <c:v>20256.29</c:v>
                </c:pt>
                <c:pt idx="8">
                  <c:v>20256.29</c:v>
                </c:pt>
                <c:pt idx="9">
                  <c:v>20266.11</c:v>
                </c:pt>
                <c:pt idx="10">
                  <c:v>20631.400000000001</c:v>
                </c:pt>
                <c:pt idx="11">
                  <c:v>21010.19</c:v>
                </c:pt>
                <c:pt idx="12">
                  <c:v>20436.59</c:v>
                </c:pt>
                <c:pt idx="13">
                  <c:v>20436.59</c:v>
                </c:pt>
                <c:pt idx="14">
                  <c:v>20452.2</c:v>
                </c:pt>
                <c:pt idx="15">
                  <c:v>20467.900000000001</c:v>
                </c:pt>
                <c:pt idx="16">
                  <c:v>20485.41</c:v>
                </c:pt>
                <c:pt idx="17">
                  <c:v>20485.41</c:v>
                </c:pt>
                <c:pt idx="18">
                  <c:v>20237.61</c:v>
                </c:pt>
                <c:pt idx="19">
                  <c:v>20237.61</c:v>
                </c:pt>
                <c:pt idx="20">
                  <c:v>19679.91</c:v>
                </c:pt>
                <c:pt idx="21">
                  <c:v>19679.91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5-47FE-8D4B-0E85B413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3111"/>
          <c:min val="1771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73</xdr:row>
      <xdr:rowOff>0</xdr:rowOff>
    </xdr:from>
    <xdr:to>
      <xdr:col>14</xdr:col>
      <xdr:colOff>0</xdr:colOff>
      <xdr:row>93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tabSelected="1" workbookViewId="0">
      <selection activeCell="D4" sqref="D4:O4"/>
    </sheetView>
  </sheetViews>
  <sheetFormatPr defaultRowHeight="15" customHeight="1" x14ac:dyDescent="0.3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3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3">
      <c r="A3" s="10" t="s">
        <v>3</v>
      </c>
      <c r="B3" s="10"/>
      <c r="C3" s="10"/>
      <c r="D3" s="11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3">
      <c r="A4" s="10" t="s">
        <v>5</v>
      </c>
      <c r="B4" s="10"/>
      <c r="C4" s="10"/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3">
      <c r="A5" s="10" t="s">
        <v>7</v>
      </c>
      <c r="B5" s="10"/>
      <c r="C5" s="10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5" customHeight="1" x14ac:dyDescent="0.3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0" customHeight="1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3" t="s">
        <v>20</v>
      </c>
      <c r="N7" s="13"/>
      <c r="O7" s="13"/>
    </row>
    <row r="8" spans="1:15" ht="15" customHeight="1" x14ac:dyDescent="0.3">
      <c r="A8" s="2" t="s">
        <v>21</v>
      </c>
      <c r="B8" s="3">
        <v>1790070498</v>
      </c>
      <c r="C8" s="2" t="s">
        <v>22</v>
      </c>
      <c r="D8" s="2" t="s">
        <v>23</v>
      </c>
      <c r="E8" s="2" t="s">
        <v>24</v>
      </c>
      <c r="F8" s="4">
        <v>4543.6499999999996</v>
      </c>
      <c r="G8" s="4">
        <v>4488.3900000000003</v>
      </c>
      <c r="H8" s="4">
        <v>4681.8</v>
      </c>
      <c r="I8" s="2" t="s">
        <v>25</v>
      </c>
      <c r="J8" s="4">
        <v>4488.3900000000003</v>
      </c>
      <c r="K8" s="4">
        <v>0</v>
      </c>
      <c r="L8" s="4">
        <v>-21</v>
      </c>
      <c r="M8" s="14">
        <v>-552.6</v>
      </c>
      <c r="N8" s="14"/>
      <c r="O8" s="14"/>
    </row>
    <row r="9" spans="1:15" ht="15" customHeight="1" x14ac:dyDescent="0.3">
      <c r="A9" s="5" t="s">
        <v>26</v>
      </c>
      <c r="B9" s="6">
        <v>1790149486</v>
      </c>
      <c r="C9" s="5" t="s">
        <v>22</v>
      </c>
      <c r="D9" s="5" t="s">
        <v>27</v>
      </c>
      <c r="E9" s="5" t="s">
        <v>24</v>
      </c>
      <c r="F9" s="7">
        <v>4553.3900000000003</v>
      </c>
      <c r="G9" s="7">
        <v>4582.4799999999996</v>
      </c>
      <c r="H9" s="7">
        <v>4495.24</v>
      </c>
      <c r="I9" s="5" t="s">
        <v>28</v>
      </c>
      <c r="J9" s="7">
        <v>4528.01</v>
      </c>
      <c r="K9" s="7">
        <v>0</v>
      </c>
      <c r="L9" s="7">
        <v>2.4900000000000002</v>
      </c>
      <c r="M9" s="15">
        <v>253.8</v>
      </c>
      <c r="N9" s="15"/>
      <c r="O9" s="15"/>
    </row>
    <row r="10" spans="1:15" ht="15" customHeight="1" x14ac:dyDescent="0.3">
      <c r="A10" s="2" t="s">
        <v>29</v>
      </c>
      <c r="B10" s="3">
        <v>1795265052</v>
      </c>
      <c r="C10" s="2" t="s">
        <v>30</v>
      </c>
      <c r="D10" s="2" t="s">
        <v>27</v>
      </c>
      <c r="E10" s="2" t="s">
        <v>31</v>
      </c>
      <c r="F10" s="4">
        <v>77315.3</v>
      </c>
      <c r="G10" s="4">
        <v>78121.240000000005</v>
      </c>
      <c r="H10" s="4">
        <v>75740.399999999994</v>
      </c>
      <c r="I10" s="2" t="s">
        <v>32</v>
      </c>
      <c r="J10" s="4">
        <v>75740.399999999994</v>
      </c>
      <c r="K10" s="4">
        <v>0</v>
      </c>
      <c r="L10" s="4">
        <v>-0.14000000000000001</v>
      </c>
      <c r="M10" s="14">
        <v>15.75</v>
      </c>
      <c r="N10" s="14"/>
      <c r="O10" s="14"/>
    </row>
    <row r="11" spans="1:15" ht="15" customHeight="1" x14ac:dyDescent="0.3">
      <c r="A11" s="5" t="s">
        <v>33</v>
      </c>
      <c r="B11" s="6">
        <v>1795390090</v>
      </c>
      <c r="C11" s="5" t="s">
        <v>30</v>
      </c>
      <c r="D11" s="5" t="s">
        <v>27</v>
      </c>
      <c r="E11" s="5" t="s">
        <v>31</v>
      </c>
      <c r="F11" s="7">
        <v>77307.7</v>
      </c>
      <c r="G11" s="7">
        <v>78117.960000000006</v>
      </c>
      <c r="H11" s="7">
        <v>75724.149999999994</v>
      </c>
      <c r="I11" s="5" t="s">
        <v>32</v>
      </c>
      <c r="J11" s="7">
        <v>75724.149999999994</v>
      </c>
      <c r="K11" s="7">
        <v>0</v>
      </c>
      <c r="L11" s="7">
        <v>-0.14000000000000001</v>
      </c>
      <c r="M11" s="15">
        <v>15.84</v>
      </c>
      <c r="N11" s="15"/>
      <c r="O11" s="15"/>
    </row>
    <row r="12" spans="1:15" ht="15" customHeight="1" x14ac:dyDescent="0.3">
      <c r="A12" s="2" t="s">
        <v>34</v>
      </c>
      <c r="B12" s="3">
        <v>1795598160</v>
      </c>
      <c r="C12" s="2" t="s">
        <v>30</v>
      </c>
      <c r="D12" s="2" t="s">
        <v>27</v>
      </c>
      <c r="E12" s="2" t="s">
        <v>31</v>
      </c>
      <c r="F12" s="4">
        <v>77611.3</v>
      </c>
      <c r="G12" s="4">
        <v>78124.44</v>
      </c>
      <c r="H12" s="4">
        <v>76621.990000000005</v>
      </c>
      <c r="I12" s="2" t="s">
        <v>35</v>
      </c>
      <c r="J12" s="4">
        <v>76621.990000000005</v>
      </c>
      <c r="K12" s="4">
        <v>0</v>
      </c>
      <c r="L12" s="4">
        <v>-7.0000000000000007E-2</v>
      </c>
      <c r="M12" s="14">
        <v>9.89</v>
      </c>
      <c r="N12" s="14"/>
      <c r="O12" s="14"/>
    </row>
    <row r="13" spans="1:15" ht="15" customHeight="1" x14ac:dyDescent="0.3">
      <c r="A13" s="5" t="s">
        <v>36</v>
      </c>
      <c r="B13" s="6">
        <v>1795598807</v>
      </c>
      <c r="C13" s="5" t="s">
        <v>22</v>
      </c>
      <c r="D13" s="5" t="s">
        <v>27</v>
      </c>
      <c r="E13" s="5" t="s">
        <v>24</v>
      </c>
      <c r="F13" s="7">
        <v>4570.03</v>
      </c>
      <c r="G13" s="7">
        <v>4589.07</v>
      </c>
      <c r="H13" s="7">
        <v>4532.3999999999996</v>
      </c>
      <c r="I13" s="5" t="s">
        <v>37</v>
      </c>
      <c r="J13" s="7">
        <v>4532.3999999999996</v>
      </c>
      <c r="K13" s="7">
        <v>0</v>
      </c>
      <c r="L13" s="7">
        <v>2.4900000000000002</v>
      </c>
      <c r="M13" s="15">
        <v>376.3</v>
      </c>
      <c r="N13" s="15"/>
      <c r="O13" s="15"/>
    </row>
    <row r="14" spans="1:15" ht="15" customHeight="1" x14ac:dyDescent="0.3">
      <c r="A14" s="2" t="s">
        <v>38</v>
      </c>
      <c r="B14" s="3">
        <v>1795665226</v>
      </c>
      <c r="C14" s="2" t="s">
        <v>22</v>
      </c>
      <c r="D14" s="2" t="s">
        <v>27</v>
      </c>
      <c r="E14" s="2" t="s">
        <v>24</v>
      </c>
      <c r="F14" s="4">
        <v>4573.84</v>
      </c>
      <c r="G14" s="4">
        <v>4591.9799999999996</v>
      </c>
      <c r="H14" s="4">
        <v>4537.5600000000004</v>
      </c>
      <c r="I14" s="2" t="s">
        <v>39</v>
      </c>
      <c r="J14" s="4">
        <v>4537.5600000000004</v>
      </c>
      <c r="K14" s="4">
        <v>0</v>
      </c>
      <c r="L14" s="4">
        <v>2.4900000000000002</v>
      </c>
      <c r="M14" s="14">
        <v>362.8</v>
      </c>
      <c r="N14" s="14"/>
      <c r="O14" s="14"/>
    </row>
    <row r="15" spans="1:15" ht="15" customHeight="1" x14ac:dyDescent="0.3">
      <c r="A15" s="5" t="s">
        <v>40</v>
      </c>
      <c r="B15" s="6">
        <v>1798284880</v>
      </c>
      <c r="C15" s="5" t="s">
        <v>30</v>
      </c>
      <c r="D15" s="5" t="s">
        <v>27</v>
      </c>
      <c r="E15" s="5" t="s">
        <v>31</v>
      </c>
      <c r="F15" s="7">
        <v>75867.8</v>
      </c>
      <c r="G15" s="7">
        <v>76772.88</v>
      </c>
      <c r="H15" s="7">
        <v>74094.62</v>
      </c>
      <c r="I15" s="5" t="s">
        <v>41</v>
      </c>
      <c r="J15" s="7">
        <v>74094.62</v>
      </c>
      <c r="K15" s="7">
        <v>0</v>
      </c>
      <c r="L15" s="7">
        <v>-0.22</v>
      </c>
      <c r="M15" s="15">
        <v>17.73</v>
      </c>
      <c r="N15" s="15"/>
      <c r="O15" s="15"/>
    </row>
    <row r="16" spans="1:15" ht="15" customHeight="1" x14ac:dyDescent="0.3">
      <c r="A16" s="2" t="s">
        <v>42</v>
      </c>
      <c r="B16" s="3">
        <v>1814574684</v>
      </c>
      <c r="C16" s="2" t="s">
        <v>22</v>
      </c>
      <c r="D16" s="2" t="s">
        <v>27</v>
      </c>
      <c r="E16" s="2" t="s">
        <v>24</v>
      </c>
      <c r="F16" s="4">
        <v>4450.2</v>
      </c>
      <c r="G16" s="4">
        <v>4474.9799999999996</v>
      </c>
      <c r="H16" s="4">
        <v>4400.6400000000003</v>
      </c>
      <c r="I16" s="2" t="s">
        <v>43</v>
      </c>
      <c r="J16" s="4">
        <v>4474.9799999999996</v>
      </c>
      <c r="K16" s="4">
        <v>0</v>
      </c>
      <c r="L16" s="4">
        <v>0</v>
      </c>
      <c r="M16" s="14">
        <v>-247.8</v>
      </c>
      <c r="N16" s="14"/>
      <c r="O16" s="14"/>
    </row>
    <row r="17" spans="1:15" ht="15" customHeight="1" x14ac:dyDescent="0.3">
      <c r="A17" s="5" t="s">
        <v>44</v>
      </c>
      <c r="B17" s="6">
        <v>1816914325</v>
      </c>
      <c r="C17" s="5" t="s">
        <v>22</v>
      </c>
      <c r="D17" s="5" t="s">
        <v>23</v>
      </c>
      <c r="E17" s="5" t="s">
        <v>24</v>
      </c>
      <c r="F17" s="7">
        <v>4478.9399999999996</v>
      </c>
      <c r="G17" s="7">
        <v>4423.87</v>
      </c>
      <c r="H17" s="7">
        <v>4616.4399999999996</v>
      </c>
      <c r="I17" s="5" t="s">
        <v>45</v>
      </c>
      <c r="J17" s="7">
        <v>4423.87</v>
      </c>
      <c r="K17" s="7">
        <v>0</v>
      </c>
      <c r="L17" s="7">
        <v>-7</v>
      </c>
      <c r="M17" s="15">
        <v>-550.70000000000005</v>
      </c>
      <c r="N17" s="15"/>
      <c r="O17" s="15"/>
    </row>
    <row r="18" spans="1:15" ht="25" customHeight="1" x14ac:dyDescent="0.3">
      <c r="A18" s="12" t="s">
        <v>46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20" customHeight="1" x14ac:dyDescent="0.3">
      <c r="A19" s="1" t="s">
        <v>47</v>
      </c>
      <c r="B19" s="1" t="s">
        <v>48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10</v>
      </c>
      <c r="J19" s="13" t="s">
        <v>49</v>
      </c>
      <c r="K19" s="13"/>
      <c r="L19" s="13" t="s">
        <v>50</v>
      </c>
      <c r="M19" s="13"/>
      <c r="N19" s="13"/>
      <c r="O19" s="13"/>
    </row>
    <row r="20" spans="1:15" ht="15" customHeight="1" x14ac:dyDescent="0.3">
      <c r="A20" s="2" t="s">
        <v>21</v>
      </c>
      <c r="B20" s="3">
        <v>1790070498</v>
      </c>
      <c r="C20" s="2" t="s">
        <v>22</v>
      </c>
      <c r="D20" s="2" t="s">
        <v>23</v>
      </c>
      <c r="E20" s="2" t="s">
        <v>51</v>
      </c>
      <c r="F20" s="2" t="s">
        <v>52</v>
      </c>
      <c r="G20" s="4">
        <v>4488.3900000000003</v>
      </c>
      <c r="H20" s="4">
        <v>4681.8</v>
      </c>
      <c r="I20" s="2" t="s">
        <v>21</v>
      </c>
      <c r="J20" s="16" t="s">
        <v>53</v>
      </c>
      <c r="K20" s="16"/>
      <c r="L20" s="16" t="s">
        <v>54</v>
      </c>
      <c r="M20" s="16"/>
      <c r="N20" s="16"/>
      <c r="O20" s="16"/>
    </row>
    <row r="21" spans="1:15" ht="15" customHeight="1" x14ac:dyDescent="0.3">
      <c r="A21" s="5" t="s">
        <v>26</v>
      </c>
      <c r="B21" s="6">
        <v>1790149486</v>
      </c>
      <c r="C21" s="5" t="s">
        <v>22</v>
      </c>
      <c r="D21" s="5" t="s">
        <v>27</v>
      </c>
      <c r="E21" s="5" t="s">
        <v>51</v>
      </c>
      <c r="F21" s="5" t="s">
        <v>52</v>
      </c>
      <c r="G21" s="7">
        <v>4582.4799999999996</v>
      </c>
      <c r="H21" s="7">
        <v>4495.24</v>
      </c>
      <c r="I21" s="5" t="s">
        <v>26</v>
      </c>
      <c r="J21" s="17" t="s">
        <v>53</v>
      </c>
      <c r="K21" s="17"/>
      <c r="L21" s="17" t="s">
        <v>55</v>
      </c>
      <c r="M21" s="17"/>
      <c r="N21" s="17"/>
      <c r="O21" s="17"/>
    </row>
    <row r="22" spans="1:15" ht="15" customHeight="1" x14ac:dyDescent="0.3">
      <c r="A22" s="2" t="s">
        <v>28</v>
      </c>
      <c r="B22" s="3">
        <v>1790532987</v>
      </c>
      <c r="C22" s="2" t="s">
        <v>22</v>
      </c>
      <c r="D22" s="2" t="s">
        <v>23</v>
      </c>
      <c r="E22" s="2" t="s">
        <v>51</v>
      </c>
      <c r="F22" s="2" t="s">
        <v>52</v>
      </c>
      <c r="G22" s="2"/>
      <c r="H22" s="2"/>
      <c r="I22" s="2" t="s">
        <v>28</v>
      </c>
      <c r="J22" s="16" t="s">
        <v>53</v>
      </c>
      <c r="K22" s="16"/>
      <c r="L22" s="16" t="s">
        <v>56</v>
      </c>
      <c r="M22" s="16"/>
      <c r="N22" s="16"/>
      <c r="O22" s="16"/>
    </row>
    <row r="23" spans="1:15" ht="15" customHeight="1" x14ac:dyDescent="0.3">
      <c r="A23" s="5" t="s">
        <v>29</v>
      </c>
      <c r="B23" s="6">
        <v>1795265052</v>
      </c>
      <c r="C23" s="5" t="s">
        <v>30</v>
      </c>
      <c r="D23" s="5" t="s">
        <v>27</v>
      </c>
      <c r="E23" s="5" t="s">
        <v>57</v>
      </c>
      <c r="F23" s="5" t="s">
        <v>52</v>
      </c>
      <c r="G23" s="7">
        <v>78121.240000000005</v>
      </c>
      <c r="H23" s="7">
        <v>75740.399999999994</v>
      </c>
      <c r="I23" s="5" t="s">
        <v>29</v>
      </c>
      <c r="J23" s="17" t="s">
        <v>53</v>
      </c>
      <c r="K23" s="17"/>
      <c r="L23" s="17" t="s">
        <v>58</v>
      </c>
      <c r="M23" s="17"/>
      <c r="N23" s="17"/>
      <c r="O23" s="17"/>
    </row>
    <row r="24" spans="1:15" ht="15" customHeight="1" x14ac:dyDescent="0.3">
      <c r="A24" s="2" t="s">
        <v>33</v>
      </c>
      <c r="B24" s="3">
        <v>1795390090</v>
      </c>
      <c r="C24" s="2" t="s">
        <v>30</v>
      </c>
      <c r="D24" s="2" t="s">
        <v>27</v>
      </c>
      <c r="E24" s="2" t="s">
        <v>57</v>
      </c>
      <c r="F24" s="2" t="s">
        <v>52</v>
      </c>
      <c r="G24" s="4">
        <v>78117.960000000006</v>
      </c>
      <c r="H24" s="4">
        <v>75724.149999999994</v>
      </c>
      <c r="I24" s="2" t="s">
        <v>33</v>
      </c>
      <c r="J24" s="16" t="s">
        <v>53</v>
      </c>
      <c r="K24" s="16"/>
      <c r="L24" s="16" t="s">
        <v>59</v>
      </c>
      <c r="M24" s="16"/>
      <c r="N24" s="16"/>
      <c r="O24" s="16"/>
    </row>
    <row r="25" spans="1:15" ht="15" customHeight="1" x14ac:dyDescent="0.3">
      <c r="A25" s="5" t="s">
        <v>34</v>
      </c>
      <c r="B25" s="6">
        <v>1795598160</v>
      </c>
      <c r="C25" s="5" t="s">
        <v>30</v>
      </c>
      <c r="D25" s="5" t="s">
        <v>27</v>
      </c>
      <c r="E25" s="5" t="s">
        <v>57</v>
      </c>
      <c r="F25" s="5" t="s">
        <v>52</v>
      </c>
      <c r="G25" s="7">
        <v>78124.44</v>
      </c>
      <c r="H25" s="7">
        <v>76621.990000000005</v>
      </c>
      <c r="I25" s="5" t="s">
        <v>34</v>
      </c>
      <c r="J25" s="17" t="s">
        <v>53</v>
      </c>
      <c r="K25" s="17"/>
      <c r="L25" s="17" t="s">
        <v>58</v>
      </c>
      <c r="M25" s="17"/>
      <c r="N25" s="17"/>
      <c r="O25" s="17"/>
    </row>
    <row r="26" spans="1:15" ht="15" customHeight="1" x14ac:dyDescent="0.3">
      <c r="A26" s="2" t="s">
        <v>36</v>
      </c>
      <c r="B26" s="3">
        <v>1795598807</v>
      </c>
      <c r="C26" s="2" t="s">
        <v>22</v>
      </c>
      <c r="D26" s="2" t="s">
        <v>27</v>
      </c>
      <c r="E26" s="2" t="s">
        <v>51</v>
      </c>
      <c r="F26" s="2" t="s">
        <v>52</v>
      </c>
      <c r="G26" s="4">
        <v>4589.07</v>
      </c>
      <c r="H26" s="4">
        <v>4532.3999999999996</v>
      </c>
      <c r="I26" s="2" t="s">
        <v>36</v>
      </c>
      <c r="J26" s="16" t="s">
        <v>53</v>
      </c>
      <c r="K26" s="16"/>
      <c r="L26" s="16" t="s">
        <v>60</v>
      </c>
      <c r="M26" s="16"/>
      <c r="N26" s="16"/>
      <c r="O26" s="16"/>
    </row>
    <row r="27" spans="1:15" ht="15" customHeight="1" x14ac:dyDescent="0.3">
      <c r="A27" s="5" t="s">
        <v>38</v>
      </c>
      <c r="B27" s="6">
        <v>1795665226</v>
      </c>
      <c r="C27" s="5" t="s">
        <v>22</v>
      </c>
      <c r="D27" s="5" t="s">
        <v>27</v>
      </c>
      <c r="E27" s="5" t="s">
        <v>51</v>
      </c>
      <c r="F27" s="5" t="s">
        <v>52</v>
      </c>
      <c r="G27" s="7">
        <v>4591.9799999999996</v>
      </c>
      <c r="H27" s="7">
        <v>4537.5600000000004</v>
      </c>
      <c r="I27" s="5" t="s">
        <v>38</v>
      </c>
      <c r="J27" s="17" t="s">
        <v>53</v>
      </c>
      <c r="K27" s="17"/>
      <c r="L27" s="17" t="s">
        <v>55</v>
      </c>
      <c r="M27" s="17"/>
      <c r="N27" s="17"/>
      <c r="O27" s="17"/>
    </row>
    <row r="28" spans="1:15" ht="15" customHeight="1" x14ac:dyDescent="0.3">
      <c r="A28" s="2" t="s">
        <v>35</v>
      </c>
      <c r="B28" s="3">
        <v>1796025447</v>
      </c>
      <c r="C28" s="2" t="s">
        <v>30</v>
      </c>
      <c r="D28" s="2" t="s">
        <v>23</v>
      </c>
      <c r="E28" s="2" t="s">
        <v>57</v>
      </c>
      <c r="F28" s="4">
        <v>76621.990000000005</v>
      </c>
      <c r="G28" s="2"/>
      <c r="H28" s="2"/>
      <c r="I28" s="2" t="s">
        <v>35</v>
      </c>
      <c r="J28" s="16" t="s">
        <v>53</v>
      </c>
      <c r="K28" s="16"/>
      <c r="L28" s="16" t="s">
        <v>61</v>
      </c>
      <c r="M28" s="16"/>
      <c r="N28" s="16"/>
      <c r="O28" s="16"/>
    </row>
    <row r="29" spans="1:15" ht="15" customHeight="1" x14ac:dyDescent="0.3">
      <c r="A29" s="5" t="s">
        <v>39</v>
      </c>
      <c r="B29" s="6">
        <v>1796089679</v>
      </c>
      <c r="C29" s="5" t="s">
        <v>22</v>
      </c>
      <c r="D29" s="5" t="s">
        <v>23</v>
      </c>
      <c r="E29" s="5" t="s">
        <v>51</v>
      </c>
      <c r="F29" s="7">
        <v>4537.5600000000004</v>
      </c>
      <c r="G29" s="5"/>
      <c r="H29" s="5"/>
      <c r="I29" s="5" t="s">
        <v>39</v>
      </c>
      <c r="J29" s="17" t="s">
        <v>53</v>
      </c>
      <c r="K29" s="17"/>
      <c r="L29" s="17" t="s">
        <v>62</v>
      </c>
      <c r="M29" s="17"/>
      <c r="N29" s="17"/>
      <c r="O29" s="17"/>
    </row>
    <row r="30" spans="1:15" ht="15" customHeight="1" x14ac:dyDescent="0.3">
      <c r="A30" s="2" t="s">
        <v>37</v>
      </c>
      <c r="B30" s="3">
        <v>1796102556</v>
      </c>
      <c r="C30" s="2" t="s">
        <v>22</v>
      </c>
      <c r="D30" s="2" t="s">
        <v>23</v>
      </c>
      <c r="E30" s="2" t="s">
        <v>51</v>
      </c>
      <c r="F30" s="4">
        <v>4532.3999999999996</v>
      </c>
      <c r="G30" s="2"/>
      <c r="H30" s="2"/>
      <c r="I30" s="2" t="s">
        <v>37</v>
      </c>
      <c r="J30" s="16" t="s">
        <v>53</v>
      </c>
      <c r="K30" s="16"/>
      <c r="L30" s="16" t="s">
        <v>63</v>
      </c>
      <c r="M30" s="16"/>
      <c r="N30" s="16"/>
      <c r="O30" s="16"/>
    </row>
    <row r="31" spans="1:15" ht="15" customHeight="1" x14ac:dyDescent="0.3">
      <c r="A31" s="5" t="s">
        <v>25</v>
      </c>
      <c r="B31" s="6">
        <v>1798098767</v>
      </c>
      <c r="C31" s="5" t="s">
        <v>22</v>
      </c>
      <c r="D31" s="5" t="s">
        <v>27</v>
      </c>
      <c r="E31" s="5" t="s">
        <v>51</v>
      </c>
      <c r="F31" s="7">
        <v>4488.3900000000003</v>
      </c>
      <c r="G31" s="5"/>
      <c r="H31" s="5"/>
      <c r="I31" s="5" t="s">
        <v>25</v>
      </c>
      <c r="J31" s="17" t="s">
        <v>53</v>
      </c>
      <c r="K31" s="17"/>
      <c r="L31" s="17" t="s">
        <v>64</v>
      </c>
      <c r="M31" s="17"/>
      <c r="N31" s="17"/>
      <c r="O31" s="17"/>
    </row>
    <row r="32" spans="1:15" ht="15" customHeight="1" x14ac:dyDescent="0.3">
      <c r="A32" s="2" t="s">
        <v>40</v>
      </c>
      <c r="B32" s="3">
        <v>1798284880</v>
      </c>
      <c r="C32" s="2" t="s">
        <v>30</v>
      </c>
      <c r="D32" s="2" t="s">
        <v>27</v>
      </c>
      <c r="E32" s="2" t="s">
        <v>57</v>
      </c>
      <c r="F32" s="2" t="s">
        <v>52</v>
      </c>
      <c r="G32" s="4">
        <v>76772.88</v>
      </c>
      <c r="H32" s="4">
        <v>74094.62</v>
      </c>
      <c r="I32" s="2" t="s">
        <v>40</v>
      </c>
      <c r="J32" s="16" t="s">
        <v>53</v>
      </c>
      <c r="K32" s="16"/>
      <c r="L32" s="16" t="s">
        <v>65</v>
      </c>
      <c r="M32" s="16"/>
      <c r="N32" s="16"/>
      <c r="O32" s="16"/>
    </row>
    <row r="33" spans="1:15" ht="15" customHeight="1" x14ac:dyDescent="0.3">
      <c r="A33" s="5" t="s">
        <v>32</v>
      </c>
      <c r="B33" s="6">
        <v>1798292712</v>
      </c>
      <c r="C33" s="5" t="s">
        <v>30</v>
      </c>
      <c r="D33" s="5" t="s">
        <v>23</v>
      </c>
      <c r="E33" s="5" t="s">
        <v>57</v>
      </c>
      <c r="F33" s="7">
        <v>75740.399999999994</v>
      </c>
      <c r="G33" s="5"/>
      <c r="H33" s="5"/>
      <c r="I33" s="5" t="s">
        <v>32</v>
      </c>
      <c r="J33" s="17" t="s">
        <v>53</v>
      </c>
      <c r="K33" s="17"/>
      <c r="L33" s="17" t="s">
        <v>66</v>
      </c>
      <c r="M33" s="17"/>
      <c r="N33" s="17"/>
      <c r="O33" s="17"/>
    </row>
    <row r="34" spans="1:15" ht="15" customHeight="1" x14ac:dyDescent="0.3">
      <c r="A34" s="2" t="s">
        <v>32</v>
      </c>
      <c r="B34" s="3">
        <v>1798292767</v>
      </c>
      <c r="C34" s="2" t="s">
        <v>30</v>
      </c>
      <c r="D34" s="2" t="s">
        <v>23</v>
      </c>
      <c r="E34" s="2" t="s">
        <v>57</v>
      </c>
      <c r="F34" s="4">
        <v>75724.149999999994</v>
      </c>
      <c r="G34" s="2"/>
      <c r="H34" s="2"/>
      <c r="I34" s="2" t="s">
        <v>32</v>
      </c>
      <c r="J34" s="16" t="s">
        <v>53</v>
      </c>
      <c r="K34" s="16"/>
      <c r="L34" s="16" t="s">
        <v>67</v>
      </c>
      <c r="M34" s="16"/>
      <c r="N34" s="16"/>
      <c r="O34" s="16"/>
    </row>
    <row r="35" spans="1:15" ht="15" customHeight="1" x14ac:dyDescent="0.3">
      <c r="A35" s="5" t="s">
        <v>41</v>
      </c>
      <c r="B35" s="6">
        <v>1801279424</v>
      </c>
      <c r="C35" s="5" t="s">
        <v>30</v>
      </c>
      <c r="D35" s="5" t="s">
        <v>23</v>
      </c>
      <c r="E35" s="5" t="s">
        <v>57</v>
      </c>
      <c r="F35" s="7">
        <v>74094.62</v>
      </c>
      <c r="G35" s="5"/>
      <c r="H35" s="5"/>
      <c r="I35" s="5" t="s">
        <v>41</v>
      </c>
      <c r="J35" s="17" t="s">
        <v>53</v>
      </c>
      <c r="K35" s="17"/>
      <c r="L35" s="17" t="s">
        <v>68</v>
      </c>
      <c r="M35" s="17"/>
      <c r="N35" s="17"/>
      <c r="O35" s="17"/>
    </row>
    <row r="36" spans="1:15" ht="15" customHeight="1" x14ac:dyDescent="0.3">
      <c r="A36" s="2" t="s">
        <v>42</v>
      </c>
      <c r="B36" s="3">
        <v>1814574684</v>
      </c>
      <c r="C36" s="2" t="s">
        <v>22</v>
      </c>
      <c r="D36" s="2" t="s">
        <v>27</v>
      </c>
      <c r="E36" s="2" t="s">
        <v>51</v>
      </c>
      <c r="F36" s="2" t="s">
        <v>52</v>
      </c>
      <c r="G36" s="4">
        <v>4474.9799999999996</v>
      </c>
      <c r="H36" s="4">
        <v>4400.6400000000003</v>
      </c>
      <c r="I36" s="2" t="s">
        <v>42</v>
      </c>
      <c r="J36" s="16" t="s">
        <v>53</v>
      </c>
      <c r="K36" s="16"/>
      <c r="L36" s="16" t="s">
        <v>69</v>
      </c>
      <c r="M36" s="16"/>
      <c r="N36" s="16"/>
      <c r="O36" s="16"/>
    </row>
    <row r="37" spans="1:15" ht="15" customHeight="1" x14ac:dyDescent="0.3">
      <c r="A37" s="5" t="s">
        <v>43</v>
      </c>
      <c r="B37" s="6">
        <v>1814915382</v>
      </c>
      <c r="C37" s="5" t="s">
        <v>22</v>
      </c>
      <c r="D37" s="5" t="s">
        <v>23</v>
      </c>
      <c r="E37" s="5" t="s">
        <v>51</v>
      </c>
      <c r="F37" s="7">
        <v>4474.9799999999996</v>
      </c>
      <c r="G37" s="5"/>
      <c r="H37" s="5"/>
      <c r="I37" s="5" t="s">
        <v>43</v>
      </c>
      <c r="J37" s="17" t="s">
        <v>53</v>
      </c>
      <c r="K37" s="17"/>
      <c r="L37" s="17" t="s">
        <v>70</v>
      </c>
      <c r="M37" s="17"/>
      <c r="N37" s="17"/>
      <c r="O37" s="17"/>
    </row>
    <row r="38" spans="1:15" ht="15" customHeight="1" x14ac:dyDescent="0.3">
      <c r="A38" s="2" t="s">
        <v>44</v>
      </c>
      <c r="B38" s="3">
        <v>1816914325</v>
      </c>
      <c r="C38" s="2" t="s">
        <v>22</v>
      </c>
      <c r="D38" s="2" t="s">
        <v>23</v>
      </c>
      <c r="E38" s="2" t="s">
        <v>51</v>
      </c>
      <c r="F38" s="2" t="s">
        <v>52</v>
      </c>
      <c r="G38" s="4">
        <v>4423.87</v>
      </c>
      <c r="H38" s="4">
        <v>4616.4399999999996</v>
      </c>
      <c r="I38" s="2" t="s">
        <v>44</v>
      </c>
      <c r="J38" s="16" t="s">
        <v>53</v>
      </c>
      <c r="K38" s="16"/>
      <c r="L38" s="16" t="s">
        <v>54</v>
      </c>
      <c r="M38" s="16"/>
      <c r="N38" s="16"/>
      <c r="O38" s="16"/>
    </row>
    <row r="39" spans="1:15" ht="15" customHeight="1" x14ac:dyDescent="0.3">
      <c r="A39" s="5" t="s">
        <v>45</v>
      </c>
      <c r="B39" s="6">
        <v>1818546923</v>
      </c>
      <c r="C39" s="5" t="s">
        <v>22</v>
      </c>
      <c r="D39" s="5" t="s">
        <v>27</v>
      </c>
      <c r="E39" s="5" t="s">
        <v>51</v>
      </c>
      <c r="F39" s="7">
        <v>4423.87</v>
      </c>
      <c r="G39" s="5"/>
      <c r="H39" s="5"/>
      <c r="I39" s="5" t="s">
        <v>45</v>
      </c>
      <c r="J39" s="17" t="s">
        <v>53</v>
      </c>
      <c r="K39" s="17"/>
      <c r="L39" s="17" t="s">
        <v>71</v>
      </c>
      <c r="M39" s="17"/>
      <c r="N39" s="17"/>
      <c r="O39" s="17"/>
    </row>
    <row r="40" spans="1:15" ht="15" customHeight="1" x14ac:dyDescent="0.3">
      <c r="A40" s="2" t="s">
        <v>72</v>
      </c>
      <c r="B40" s="3">
        <v>1819919627</v>
      </c>
      <c r="C40" s="2" t="s">
        <v>22</v>
      </c>
      <c r="D40" s="2" t="s">
        <v>27</v>
      </c>
      <c r="E40" s="2" t="s">
        <v>51</v>
      </c>
      <c r="F40" s="2" t="s">
        <v>52</v>
      </c>
      <c r="G40" s="4">
        <v>4353.87</v>
      </c>
      <c r="H40" s="4">
        <v>4254.09</v>
      </c>
      <c r="I40" s="2" t="s">
        <v>72</v>
      </c>
      <c r="J40" s="16" t="s">
        <v>53</v>
      </c>
      <c r="K40" s="16"/>
      <c r="L40" s="16" t="s">
        <v>69</v>
      </c>
      <c r="M40" s="16"/>
      <c r="N40" s="16"/>
      <c r="O40" s="16"/>
    </row>
    <row r="41" spans="1:15" ht="25" customHeight="1" x14ac:dyDescent="0.3">
      <c r="A41" s="18" t="s">
        <v>73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20" customHeight="1" x14ac:dyDescent="0.3">
      <c r="A42" s="1" t="s">
        <v>10</v>
      </c>
      <c r="B42" s="1" t="s">
        <v>74</v>
      </c>
      <c r="C42" s="1" t="s">
        <v>12</v>
      </c>
      <c r="D42" s="1" t="s">
        <v>13</v>
      </c>
      <c r="E42" s="1" t="s">
        <v>75</v>
      </c>
      <c r="F42" s="1" t="s">
        <v>14</v>
      </c>
      <c r="G42" s="1" t="s">
        <v>15</v>
      </c>
      <c r="H42" s="1" t="s">
        <v>48</v>
      </c>
      <c r="I42" s="1" t="s">
        <v>18</v>
      </c>
      <c r="J42" s="13" t="s">
        <v>76</v>
      </c>
      <c r="K42" s="1" t="s">
        <v>19</v>
      </c>
      <c r="L42" s="1" t="s">
        <v>20</v>
      </c>
      <c r="M42" s="1" t="s">
        <v>77</v>
      </c>
      <c r="N42" s="13" t="s">
        <v>50</v>
      </c>
      <c r="O42" s="13"/>
    </row>
    <row r="43" spans="1:15" ht="15" customHeight="1" x14ac:dyDescent="0.3">
      <c r="A43" s="2" t="s">
        <v>78</v>
      </c>
      <c r="B43" s="3">
        <v>1602833567</v>
      </c>
      <c r="C43" s="2"/>
      <c r="D43" s="2" t="s">
        <v>79</v>
      </c>
      <c r="E43" s="2"/>
      <c r="F43" s="2"/>
      <c r="G43" s="2"/>
      <c r="H43" s="2"/>
      <c r="I43" s="14">
        <v>0</v>
      </c>
      <c r="J43" s="4">
        <v>0</v>
      </c>
      <c r="K43" s="4">
        <v>0</v>
      </c>
      <c r="L43" s="4">
        <v>20000</v>
      </c>
      <c r="M43" s="4">
        <v>20000</v>
      </c>
      <c r="N43" s="16" t="s">
        <v>80</v>
      </c>
      <c r="O43" s="16"/>
    </row>
    <row r="44" spans="1:15" ht="15" customHeight="1" x14ac:dyDescent="0.3">
      <c r="A44" s="5" t="s">
        <v>21</v>
      </c>
      <c r="B44" s="6">
        <v>1605113951</v>
      </c>
      <c r="C44" s="5" t="s">
        <v>22</v>
      </c>
      <c r="D44" s="5" t="s">
        <v>23</v>
      </c>
      <c r="E44" s="5" t="s">
        <v>81</v>
      </c>
      <c r="F44" s="5" t="s">
        <v>24</v>
      </c>
      <c r="G44" s="7">
        <v>4543.6499999999996</v>
      </c>
      <c r="H44" s="6">
        <v>1790070498</v>
      </c>
      <c r="I44" s="15">
        <v>0</v>
      </c>
      <c r="J44" s="7">
        <v>0</v>
      </c>
      <c r="K44" s="7">
        <v>0</v>
      </c>
      <c r="L44" s="7">
        <v>0</v>
      </c>
      <c r="M44" s="7">
        <v>20000</v>
      </c>
      <c r="N44" s="17" t="s">
        <v>54</v>
      </c>
      <c r="O44" s="17"/>
    </row>
    <row r="45" spans="1:15" ht="15" customHeight="1" x14ac:dyDescent="0.3">
      <c r="A45" s="2" t="s">
        <v>26</v>
      </c>
      <c r="B45" s="3">
        <v>1605180175</v>
      </c>
      <c r="C45" s="2" t="s">
        <v>22</v>
      </c>
      <c r="D45" s="2" t="s">
        <v>27</v>
      </c>
      <c r="E45" s="2" t="s">
        <v>81</v>
      </c>
      <c r="F45" s="2" t="s">
        <v>24</v>
      </c>
      <c r="G45" s="4">
        <v>4553.3900000000003</v>
      </c>
      <c r="H45" s="3">
        <v>1790149486</v>
      </c>
      <c r="I45" s="14">
        <v>0</v>
      </c>
      <c r="J45" s="4">
        <v>0</v>
      </c>
      <c r="K45" s="4">
        <v>0</v>
      </c>
      <c r="L45" s="4">
        <v>0</v>
      </c>
      <c r="M45" s="4">
        <v>20000</v>
      </c>
      <c r="N45" s="16" t="s">
        <v>55</v>
      </c>
      <c r="O45" s="16"/>
    </row>
    <row r="46" spans="1:15" ht="15" customHeight="1" x14ac:dyDescent="0.3">
      <c r="A46" s="5" t="s">
        <v>28</v>
      </c>
      <c r="B46" s="6">
        <v>1605540686</v>
      </c>
      <c r="C46" s="5" t="s">
        <v>22</v>
      </c>
      <c r="D46" s="5" t="s">
        <v>23</v>
      </c>
      <c r="E46" s="5" t="s">
        <v>82</v>
      </c>
      <c r="F46" s="5" t="s">
        <v>24</v>
      </c>
      <c r="G46" s="7">
        <v>4528.01</v>
      </c>
      <c r="H46" s="6">
        <v>1790532987</v>
      </c>
      <c r="I46" s="15">
        <v>0</v>
      </c>
      <c r="J46" s="7">
        <v>0</v>
      </c>
      <c r="K46" s="7">
        <v>2.4900000000000002</v>
      </c>
      <c r="L46" s="7">
        <v>253.8</v>
      </c>
      <c r="M46" s="7">
        <v>20256.29</v>
      </c>
      <c r="N46" s="17" t="s">
        <v>56</v>
      </c>
      <c r="O46" s="17"/>
    </row>
    <row r="47" spans="1:15" ht="15" customHeight="1" x14ac:dyDescent="0.3">
      <c r="A47" s="2" t="s">
        <v>29</v>
      </c>
      <c r="B47" s="3">
        <v>1610040573</v>
      </c>
      <c r="C47" s="2" t="s">
        <v>30</v>
      </c>
      <c r="D47" s="2" t="s">
        <v>27</v>
      </c>
      <c r="E47" s="2" t="s">
        <v>81</v>
      </c>
      <c r="F47" s="2" t="s">
        <v>31</v>
      </c>
      <c r="G47" s="4">
        <v>77315.3</v>
      </c>
      <c r="H47" s="3">
        <v>1795265052</v>
      </c>
      <c r="I47" s="14">
        <v>0</v>
      </c>
      <c r="J47" s="4">
        <v>0</v>
      </c>
      <c r="K47" s="4">
        <v>0</v>
      </c>
      <c r="L47" s="4">
        <v>0</v>
      </c>
      <c r="M47" s="4">
        <v>20256.29</v>
      </c>
      <c r="N47" s="16" t="s">
        <v>58</v>
      </c>
      <c r="O47" s="16"/>
    </row>
    <row r="48" spans="1:15" ht="15" customHeight="1" x14ac:dyDescent="0.3">
      <c r="A48" s="5" t="s">
        <v>33</v>
      </c>
      <c r="B48" s="6">
        <v>1610153761</v>
      </c>
      <c r="C48" s="5" t="s">
        <v>30</v>
      </c>
      <c r="D48" s="5" t="s">
        <v>27</v>
      </c>
      <c r="E48" s="5" t="s">
        <v>81</v>
      </c>
      <c r="F48" s="5" t="s">
        <v>31</v>
      </c>
      <c r="G48" s="7">
        <v>77307.7</v>
      </c>
      <c r="H48" s="6">
        <v>1795390090</v>
      </c>
      <c r="I48" s="15">
        <v>0</v>
      </c>
      <c r="J48" s="7">
        <v>0</v>
      </c>
      <c r="K48" s="7">
        <v>0</v>
      </c>
      <c r="L48" s="7">
        <v>0</v>
      </c>
      <c r="M48" s="7">
        <v>20256.29</v>
      </c>
      <c r="N48" s="17" t="s">
        <v>59</v>
      </c>
      <c r="O48" s="17"/>
    </row>
    <row r="49" spans="1:15" ht="15" customHeight="1" x14ac:dyDescent="0.3">
      <c r="A49" s="2" t="s">
        <v>34</v>
      </c>
      <c r="B49" s="3">
        <v>1610340323</v>
      </c>
      <c r="C49" s="2" t="s">
        <v>30</v>
      </c>
      <c r="D49" s="2" t="s">
        <v>27</v>
      </c>
      <c r="E49" s="2" t="s">
        <v>81</v>
      </c>
      <c r="F49" s="2" t="s">
        <v>31</v>
      </c>
      <c r="G49" s="4">
        <v>77611.3</v>
      </c>
      <c r="H49" s="3">
        <v>1795598160</v>
      </c>
      <c r="I49" s="14">
        <v>0</v>
      </c>
      <c r="J49" s="4">
        <v>0</v>
      </c>
      <c r="K49" s="4">
        <v>0</v>
      </c>
      <c r="L49" s="4">
        <v>0</v>
      </c>
      <c r="M49" s="4">
        <v>20256.29</v>
      </c>
      <c r="N49" s="16" t="s">
        <v>58</v>
      </c>
      <c r="O49" s="16"/>
    </row>
    <row r="50" spans="1:15" ht="15" customHeight="1" x14ac:dyDescent="0.3">
      <c r="A50" s="5" t="s">
        <v>36</v>
      </c>
      <c r="B50" s="6">
        <v>1610340963</v>
      </c>
      <c r="C50" s="5" t="s">
        <v>22</v>
      </c>
      <c r="D50" s="5" t="s">
        <v>27</v>
      </c>
      <c r="E50" s="5" t="s">
        <v>81</v>
      </c>
      <c r="F50" s="5" t="s">
        <v>24</v>
      </c>
      <c r="G50" s="7">
        <v>4570.03</v>
      </c>
      <c r="H50" s="6">
        <v>1795598807</v>
      </c>
      <c r="I50" s="15">
        <v>0</v>
      </c>
      <c r="J50" s="7">
        <v>0</v>
      </c>
      <c r="K50" s="7">
        <v>0</v>
      </c>
      <c r="L50" s="7">
        <v>0</v>
      </c>
      <c r="M50" s="7">
        <v>20256.29</v>
      </c>
      <c r="N50" s="17" t="s">
        <v>60</v>
      </c>
      <c r="O50" s="17"/>
    </row>
    <row r="51" spans="1:15" ht="15" customHeight="1" x14ac:dyDescent="0.3">
      <c r="A51" s="2" t="s">
        <v>38</v>
      </c>
      <c r="B51" s="3">
        <v>1610403147</v>
      </c>
      <c r="C51" s="2" t="s">
        <v>22</v>
      </c>
      <c r="D51" s="2" t="s">
        <v>27</v>
      </c>
      <c r="E51" s="2" t="s">
        <v>81</v>
      </c>
      <c r="F51" s="2" t="s">
        <v>24</v>
      </c>
      <c r="G51" s="4">
        <v>4573.84</v>
      </c>
      <c r="H51" s="3">
        <v>1795665226</v>
      </c>
      <c r="I51" s="14">
        <v>0</v>
      </c>
      <c r="J51" s="4">
        <v>0</v>
      </c>
      <c r="K51" s="4">
        <v>0</v>
      </c>
      <c r="L51" s="4">
        <v>0</v>
      </c>
      <c r="M51" s="4">
        <v>20256.29</v>
      </c>
      <c r="N51" s="16" t="s">
        <v>55</v>
      </c>
      <c r="O51" s="16"/>
    </row>
    <row r="52" spans="1:15" ht="15" customHeight="1" x14ac:dyDescent="0.3">
      <c r="A52" s="5" t="s">
        <v>35</v>
      </c>
      <c r="B52" s="6">
        <v>1610728966</v>
      </c>
      <c r="C52" s="5" t="s">
        <v>30</v>
      </c>
      <c r="D52" s="5" t="s">
        <v>23</v>
      </c>
      <c r="E52" s="5" t="s">
        <v>82</v>
      </c>
      <c r="F52" s="5" t="s">
        <v>31</v>
      </c>
      <c r="G52" s="7">
        <v>76621.990000000005</v>
      </c>
      <c r="H52" s="6">
        <v>1796025447</v>
      </c>
      <c r="I52" s="15">
        <v>0</v>
      </c>
      <c r="J52" s="7">
        <v>0</v>
      </c>
      <c r="K52" s="7">
        <v>-7.0000000000000007E-2</v>
      </c>
      <c r="L52" s="7">
        <v>9.89</v>
      </c>
      <c r="M52" s="7">
        <v>20266.11</v>
      </c>
      <c r="N52" s="17" t="s">
        <v>61</v>
      </c>
      <c r="O52" s="17"/>
    </row>
    <row r="53" spans="1:15" ht="15" customHeight="1" x14ac:dyDescent="0.3">
      <c r="A53" s="2" t="s">
        <v>39</v>
      </c>
      <c r="B53" s="3">
        <v>1610788189</v>
      </c>
      <c r="C53" s="2" t="s">
        <v>22</v>
      </c>
      <c r="D53" s="2" t="s">
        <v>23</v>
      </c>
      <c r="E53" s="2" t="s">
        <v>82</v>
      </c>
      <c r="F53" s="2" t="s">
        <v>24</v>
      </c>
      <c r="G53" s="4">
        <v>4537.5600000000004</v>
      </c>
      <c r="H53" s="3">
        <v>1796089679</v>
      </c>
      <c r="I53" s="14">
        <v>0</v>
      </c>
      <c r="J53" s="4">
        <v>0</v>
      </c>
      <c r="K53" s="4">
        <v>2.4900000000000002</v>
      </c>
      <c r="L53" s="4">
        <v>362.8</v>
      </c>
      <c r="M53" s="4">
        <v>20631.400000000001</v>
      </c>
      <c r="N53" s="16" t="s">
        <v>62</v>
      </c>
      <c r="O53" s="16"/>
    </row>
    <row r="54" spans="1:15" ht="15" customHeight="1" x14ac:dyDescent="0.3">
      <c r="A54" s="5" t="s">
        <v>37</v>
      </c>
      <c r="B54" s="6">
        <v>1610800709</v>
      </c>
      <c r="C54" s="5" t="s">
        <v>22</v>
      </c>
      <c r="D54" s="5" t="s">
        <v>23</v>
      </c>
      <c r="E54" s="5" t="s">
        <v>82</v>
      </c>
      <c r="F54" s="5" t="s">
        <v>24</v>
      </c>
      <c r="G54" s="7">
        <v>4532.3999999999996</v>
      </c>
      <c r="H54" s="6">
        <v>1796102556</v>
      </c>
      <c r="I54" s="15">
        <v>0</v>
      </c>
      <c r="J54" s="7">
        <v>0</v>
      </c>
      <c r="K54" s="7">
        <v>2.4900000000000002</v>
      </c>
      <c r="L54" s="7">
        <v>376.3</v>
      </c>
      <c r="M54" s="7">
        <v>21010.19</v>
      </c>
      <c r="N54" s="17" t="s">
        <v>63</v>
      </c>
      <c r="O54" s="17"/>
    </row>
    <row r="55" spans="1:15" ht="15" customHeight="1" x14ac:dyDescent="0.3">
      <c r="A55" s="2" t="s">
        <v>25</v>
      </c>
      <c r="B55" s="3">
        <v>1612650566</v>
      </c>
      <c r="C55" s="2" t="s">
        <v>22</v>
      </c>
      <c r="D55" s="2" t="s">
        <v>27</v>
      </c>
      <c r="E55" s="2" t="s">
        <v>82</v>
      </c>
      <c r="F55" s="2" t="s">
        <v>24</v>
      </c>
      <c r="G55" s="4">
        <v>4488.3900000000003</v>
      </c>
      <c r="H55" s="3">
        <v>1798098767</v>
      </c>
      <c r="I55" s="14">
        <v>0</v>
      </c>
      <c r="J55" s="4">
        <v>0</v>
      </c>
      <c r="K55" s="4">
        <v>-21</v>
      </c>
      <c r="L55" s="4">
        <v>-552.6</v>
      </c>
      <c r="M55" s="4">
        <v>20436.59</v>
      </c>
      <c r="N55" s="16" t="s">
        <v>64</v>
      </c>
      <c r="O55" s="16"/>
    </row>
    <row r="56" spans="1:15" ht="15" customHeight="1" x14ac:dyDescent="0.3">
      <c r="A56" s="5" t="s">
        <v>40</v>
      </c>
      <c r="B56" s="6">
        <v>1612818084</v>
      </c>
      <c r="C56" s="5" t="s">
        <v>30</v>
      </c>
      <c r="D56" s="5" t="s">
        <v>27</v>
      </c>
      <c r="E56" s="5" t="s">
        <v>81</v>
      </c>
      <c r="F56" s="5" t="s">
        <v>31</v>
      </c>
      <c r="G56" s="7">
        <v>75867.8</v>
      </c>
      <c r="H56" s="6">
        <v>1798284880</v>
      </c>
      <c r="I56" s="15">
        <v>0</v>
      </c>
      <c r="J56" s="7">
        <v>0</v>
      </c>
      <c r="K56" s="7">
        <v>0</v>
      </c>
      <c r="L56" s="7">
        <v>0</v>
      </c>
      <c r="M56" s="7">
        <v>20436.59</v>
      </c>
      <c r="N56" s="17" t="s">
        <v>65</v>
      </c>
      <c r="O56" s="17"/>
    </row>
    <row r="57" spans="1:15" ht="15" customHeight="1" x14ac:dyDescent="0.3">
      <c r="A57" s="2" t="s">
        <v>32</v>
      </c>
      <c r="B57" s="3">
        <v>1612825417</v>
      </c>
      <c r="C57" s="2" t="s">
        <v>30</v>
      </c>
      <c r="D57" s="2" t="s">
        <v>23</v>
      </c>
      <c r="E57" s="2" t="s">
        <v>82</v>
      </c>
      <c r="F57" s="2" t="s">
        <v>31</v>
      </c>
      <c r="G57" s="4">
        <v>75740.399999999994</v>
      </c>
      <c r="H57" s="3">
        <v>1798292712</v>
      </c>
      <c r="I57" s="14">
        <v>0</v>
      </c>
      <c r="J57" s="4">
        <v>0</v>
      </c>
      <c r="K57" s="4">
        <v>-0.14000000000000001</v>
      </c>
      <c r="L57" s="4">
        <v>15.75</v>
      </c>
      <c r="M57" s="4">
        <v>20452.2</v>
      </c>
      <c r="N57" s="16" t="s">
        <v>66</v>
      </c>
      <c r="O57" s="16"/>
    </row>
    <row r="58" spans="1:15" ht="15" customHeight="1" x14ac:dyDescent="0.3">
      <c r="A58" s="5" t="s">
        <v>32</v>
      </c>
      <c r="B58" s="6">
        <v>1612825467</v>
      </c>
      <c r="C58" s="5" t="s">
        <v>30</v>
      </c>
      <c r="D58" s="5" t="s">
        <v>23</v>
      </c>
      <c r="E58" s="5" t="s">
        <v>82</v>
      </c>
      <c r="F58" s="5" t="s">
        <v>31</v>
      </c>
      <c r="G58" s="7">
        <v>75724.149999999994</v>
      </c>
      <c r="H58" s="6">
        <v>1798292767</v>
      </c>
      <c r="I58" s="15">
        <v>0</v>
      </c>
      <c r="J58" s="7">
        <v>0</v>
      </c>
      <c r="K58" s="7">
        <v>-0.14000000000000001</v>
      </c>
      <c r="L58" s="7">
        <v>15.84</v>
      </c>
      <c r="M58" s="7">
        <v>20467.900000000001</v>
      </c>
      <c r="N58" s="17" t="s">
        <v>67</v>
      </c>
      <c r="O58" s="17"/>
    </row>
    <row r="59" spans="1:15" ht="15" customHeight="1" x14ac:dyDescent="0.3">
      <c r="A59" s="2" t="s">
        <v>41</v>
      </c>
      <c r="B59" s="3">
        <v>1615507752</v>
      </c>
      <c r="C59" s="2" t="s">
        <v>30</v>
      </c>
      <c r="D59" s="2" t="s">
        <v>23</v>
      </c>
      <c r="E59" s="2" t="s">
        <v>82</v>
      </c>
      <c r="F59" s="2" t="s">
        <v>31</v>
      </c>
      <c r="G59" s="4">
        <v>74094.62</v>
      </c>
      <c r="H59" s="3">
        <v>1801279424</v>
      </c>
      <c r="I59" s="14">
        <v>0</v>
      </c>
      <c r="J59" s="4">
        <v>0</v>
      </c>
      <c r="K59" s="4">
        <v>-0.22</v>
      </c>
      <c r="L59" s="4">
        <v>17.73</v>
      </c>
      <c r="M59" s="4">
        <v>20485.41</v>
      </c>
      <c r="N59" s="16" t="s">
        <v>68</v>
      </c>
      <c r="O59" s="16"/>
    </row>
    <row r="60" spans="1:15" ht="15" customHeight="1" x14ac:dyDescent="0.3">
      <c r="A60" s="5" t="s">
        <v>42</v>
      </c>
      <c r="B60" s="6">
        <v>1627702328</v>
      </c>
      <c r="C60" s="5" t="s">
        <v>22</v>
      </c>
      <c r="D60" s="5" t="s">
        <v>27</v>
      </c>
      <c r="E60" s="5" t="s">
        <v>81</v>
      </c>
      <c r="F60" s="5" t="s">
        <v>24</v>
      </c>
      <c r="G60" s="7">
        <v>4450.2</v>
      </c>
      <c r="H60" s="6">
        <v>1814574684</v>
      </c>
      <c r="I60" s="15">
        <v>0</v>
      </c>
      <c r="J60" s="7">
        <v>0</v>
      </c>
      <c r="K60" s="7">
        <v>0</v>
      </c>
      <c r="L60" s="7">
        <v>0</v>
      </c>
      <c r="M60" s="7">
        <v>20485.41</v>
      </c>
      <c r="N60" s="17" t="s">
        <v>69</v>
      </c>
      <c r="O60" s="17"/>
    </row>
    <row r="61" spans="1:15" ht="15" customHeight="1" x14ac:dyDescent="0.3">
      <c r="A61" s="2" t="s">
        <v>43</v>
      </c>
      <c r="B61" s="3">
        <v>1627999626</v>
      </c>
      <c r="C61" s="2" t="s">
        <v>22</v>
      </c>
      <c r="D61" s="2" t="s">
        <v>23</v>
      </c>
      <c r="E61" s="2" t="s">
        <v>82</v>
      </c>
      <c r="F61" s="2" t="s">
        <v>24</v>
      </c>
      <c r="G61" s="4">
        <v>4474.9799999999996</v>
      </c>
      <c r="H61" s="3">
        <v>1814915382</v>
      </c>
      <c r="I61" s="14">
        <v>0</v>
      </c>
      <c r="J61" s="4">
        <v>0</v>
      </c>
      <c r="K61" s="4">
        <v>0</v>
      </c>
      <c r="L61" s="4">
        <v>-247.8</v>
      </c>
      <c r="M61" s="4">
        <v>20237.61</v>
      </c>
      <c r="N61" s="16" t="s">
        <v>70</v>
      </c>
      <c r="O61" s="16"/>
    </row>
    <row r="62" spans="1:15" ht="15" customHeight="1" x14ac:dyDescent="0.3">
      <c r="A62" s="5" t="s">
        <v>44</v>
      </c>
      <c r="B62" s="6">
        <v>1629815800</v>
      </c>
      <c r="C62" s="5" t="s">
        <v>22</v>
      </c>
      <c r="D62" s="5" t="s">
        <v>23</v>
      </c>
      <c r="E62" s="5" t="s">
        <v>81</v>
      </c>
      <c r="F62" s="5" t="s">
        <v>24</v>
      </c>
      <c r="G62" s="7">
        <v>4478.9399999999996</v>
      </c>
      <c r="H62" s="6">
        <v>1816914325</v>
      </c>
      <c r="I62" s="15">
        <v>0</v>
      </c>
      <c r="J62" s="7">
        <v>0</v>
      </c>
      <c r="K62" s="7">
        <v>0</v>
      </c>
      <c r="L62" s="7">
        <v>0</v>
      </c>
      <c r="M62" s="7">
        <v>20237.61</v>
      </c>
      <c r="N62" s="17" t="s">
        <v>54</v>
      </c>
      <c r="O62" s="17"/>
    </row>
    <row r="63" spans="1:15" ht="15" customHeight="1" x14ac:dyDescent="0.3">
      <c r="A63" s="2" t="s">
        <v>45</v>
      </c>
      <c r="B63" s="3">
        <v>1631376963</v>
      </c>
      <c r="C63" s="2" t="s">
        <v>22</v>
      </c>
      <c r="D63" s="2" t="s">
        <v>27</v>
      </c>
      <c r="E63" s="2" t="s">
        <v>82</v>
      </c>
      <c r="F63" s="2" t="s">
        <v>24</v>
      </c>
      <c r="G63" s="4">
        <v>4423.87</v>
      </c>
      <c r="H63" s="3">
        <v>1818546923</v>
      </c>
      <c r="I63" s="14">
        <v>0</v>
      </c>
      <c r="J63" s="4">
        <v>0</v>
      </c>
      <c r="K63" s="4">
        <v>-7</v>
      </c>
      <c r="L63" s="4">
        <v>-550.70000000000005</v>
      </c>
      <c r="M63" s="4">
        <v>19679.91</v>
      </c>
      <c r="N63" s="16" t="s">
        <v>71</v>
      </c>
      <c r="O63" s="16"/>
    </row>
    <row r="64" spans="1:15" ht="15" customHeight="1" x14ac:dyDescent="0.3">
      <c r="A64" s="5" t="s">
        <v>72</v>
      </c>
      <c r="B64" s="6">
        <v>1632669993</v>
      </c>
      <c r="C64" s="5" t="s">
        <v>22</v>
      </c>
      <c r="D64" s="5" t="s">
        <v>27</v>
      </c>
      <c r="E64" s="5" t="s">
        <v>81</v>
      </c>
      <c r="F64" s="5" t="s">
        <v>24</v>
      </c>
      <c r="G64" s="7">
        <v>4320.6000000000004</v>
      </c>
      <c r="H64" s="6">
        <v>1819919627</v>
      </c>
      <c r="I64" s="15">
        <v>0</v>
      </c>
      <c r="J64" s="7">
        <v>0</v>
      </c>
      <c r="K64" s="7">
        <v>0</v>
      </c>
      <c r="L64" s="7">
        <v>0</v>
      </c>
      <c r="M64" s="7">
        <v>19679.91</v>
      </c>
      <c r="N64" s="17" t="s">
        <v>69</v>
      </c>
      <c r="O64" s="17"/>
    </row>
    <row r="65" spans="1:15" ht="20" customHeight="1" x14ac:dyDescent="0.3">
      <c r="A65" s="19"/>
      <c r="B65" s="19"/>
      <c r="C65" s="19"/>
      <c r="D65" s="19"/>
      <c r="E65" s="19"/>
      <c r="F65" s="19"/>
      <c r="G65" s="19"/>
      <c r="H65" s="19"/>
      <c r="I65" s="8">
        <f>SUM(Sheet1!I43:I64)</f>
        <v>0</v>
      </c>
      <c r="J65" s="8">
        <f>SUM(Sheet1!J43:J64)</f>
        <v>0</v>
      </c>
      <c r="K65" s="8">
        <f>SUM(Sheet1!K43:K64)</f>
        <v>-21.1</v>
      </c>
      <c r="L65" s="8">
        <v>19701.009999999998</v>
      </c>
      <c r="M65" s="8">
        <v>19679.91</v>
      </c>
      <c r="N65" s="19"/>
      <c r="O65" s="19"/>
    </row>
    <row r="66" spans="1:15" ht="25" customHeight="1" x14ac:dyDescent="0.3">
      <c r="A66" s="12" t="s">
        <v>83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20" customHeight="1" x14ac:dyDescent="0.3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84</v>
      </c>
      <c r="J67" s="13" t="s">
        <v>19</v>
      </c>
      <c r="K67" s="13"/>
      <c r="L67" s="1" t="s">
        <v>20</v>
      </c>
      <c r="M67" s="13" t="s">
        <v>50</v>
      </c>
      <c r="N67" s="13"/>
      <c r="O67" s="13"/>
    </row>
    <row r="68" spans="1:15" ht="15" customHeight="1" x14ac:dyDescent="0.3">
      <c r="A68" s="5" t="s">
        <v>72</v>
      </c>
      <c r="B68" s="6">
        <v>1819919627</v>
      </c>
      <c r="C68" s="5" t="s">
        <v>22</v>
      </c>
      <c r="D68" s="5" t="s">
        <v>27</v>
      </c>
      <c r="E68" s="5" t="s">
        <v>24</v>
      </c>
      <c r="F68" s="7">
        <v>4320.6000000000004</v>
      </c>
      <c r="G68" s="7">
        <v>4353.87</v>
      </c>
      <c r="H68" s="7">
        <v>4254.09</v>
      </c>
      <c r="I68" s="7">
        <v>4329.3900000000003</v>
      </c>
      <c r="J68" s="15">
        <v>4.9800000000000004</v>
      </c>
      <c r="K68" s="15"/>
      <c r="L68" s="7">
        <v>-87.9</v>
      </c>
      <c r="M68" s="17" t="s">
        <v>69</v>
      </c>
      <c r="N68" s="17"/>
      <c r="O68" s="17"/>
    </row>
    <row r="69" spans="1:15" ht="20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8">
        <f>SUM(Sheet1!K68:K68)</f>
        <v>0</v>
      </c>
      <c r="L69" s="8">
        <f>SUM(Sheet1!L68:L68)</f>
        <v>-87.9</v>
      </c>
      <c r="M69" s="19"/>
      <c r="N69" s="19"/>
      <c r="O69" s="19"/>
    </row>
    <row r="70" spans="1:15" ht="15" customHeight="1" x14ac:dyDescent="0.3">
      <c r="A70" s="17" t="s">
        <v>85</v>
      </c>
      <c r="B70" s="17"/>
      <c r="C70" s="17"/>
      <c r="D70" s="20">
        <v>19679.91</v>
      </c>
      <c r="E70" s="20"/>
      <c r="G70" s="17" t="s">
        <v>86</v>
      </c>
      <c r="H70" s="17"/>
      <c r="I70" s="17"/>
      <c r="J70" s="20">
        <v>19510.580000000002</v>
      </c>
      <c r="K70" s="20"/>
    </row>
    <row r="71" spans="1:15" ht="15" customHeight="1" x14ac:dyDescent="0.3">
      <c r="A71" s="17" t="s">
        <v>87</v>
      </c>
      <c r="B71" s="17"/>
      <c r="C71" s="17"/>
      <c r="D71" s="20">
        <v>0</v>
      </c>
      <c r="E71" s="20"/>
      <c r="G71" s="17" t="s">
        <v>88</v>
      </c>
      <c r="H71" s="17"/>
      <c r="I71" s="17"/>
      <c r="J71" s="20">
        <v>86.41</v>
      </c>
      <c r="K71" s="20"/>
    </row>
    <row r="72" spans="1:15" ht="15" customHeight="1" x14ac:dyDescent="0.3">
      <c r="A72" s="17" t="s">
        <v>89</v>
      </c>
      <c r="B72" s="17"/>
      <c r="C72" s="17"/>
      <c r="D72" s="20">
        <v>-87.9</v>
      </c>
      <c r="E72" s="20"/>
      <c r="G72" s="17" t="s">
        <v>90</v>
      </c>
      <c r="H72" s="17"/>
      <c r="I72" s="17"/>
      <c r="J72" s="21">
        <v>226.79076499999999</v>
      </c>
      <c r="K72" s="21"/>
    </row>
    <row r="73" spans="1:15" ht="15" customHeight="1" x14ac:dyDescent="0.3">
      <c r="A73" s="17" t="s">
        <v>91</v>
      </c>
      <c r="B73" s="17"/>
      <c r="C73" s="17"/>
      <c r="D73" s="20">
        <v>19596.990000000002</v>
      </c>
      <c r="E73" s="20"/>
    </row>
    <row r="94" spans="1:15" ht="25" customHeight="1" x14ac:dyDescent="0.3">
      <c r="A94" s="12" t="s">
        <v>92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ht="15" customHeight="1" x14ac:dyDescent="0.3">
      <c r="A95" s="17" t="s">
        <v>93</v>
      </c>
      <c r="B95" s="17"/>
      <c r="C95" s="17"/>
      <c r="D95" s="20">
        <v>-320.08999999999997</v>
      </c>
      <c r="E95" s="17" t="s">
        <v>94</v>
      </c>
      <c r="F95" s="17"/>
      <c r="G95" s="17"/>
      <c r="H95" s="20">
        <v>1059.01</v>
      </c>
      <c r="I95" s="17" t="s">
        <v>95</v>
      </c>
      <c r="J95" s="17"/>
      <c r="K95" s="17"/>
      <c r="L95" s="20">
        <v>-1379.1</v>
      </c>
      <c r="M95" s="20"/>
      <c r="N95" s="20"/>
    </row>
    <row r="96" spans="1:15" ht="15" customHeight="1" x14ac:dyDescent="0.3">
      <c r="A96" s="17" t="s">
        <v>96</v>
      </c>
      <c r="B96" s="17"/>
      <c r="C96" s="17"/>
      <c r="D96" s="20">
        <v>0.767899</v>
      </c>
      <c r="E96" s="17" t="s">
        <v>97</v>
      </c>
      <c r="F96" s="17"/>
      <c r="G96" s="17"/>
      <c r="H96" s="20">
        <v>-32.009</v>
      </c>
    </row>
    <row r="97" spans="1:14" ht="15" customHeight="1" x14ac:dyDescent="0.3">
      <c r="A97" s="17" t="s">
        <v>98</v>
      </c>
      <c r="B97" s="17"/>
      <c r="C97" s="17"/>
      <c r="D97" s="20">
        <v>-0.240619</v>
      </c>
      <c r="E97" s="17" t="s">
        <v>99</v>
      </c>
      <c r="F97" s="17"/>
      <c r="G97" s="17"/>
      <c r="H97" s="20">
        <v>-9.4950999999999994E-2</v>
      </c>
    </row>
    <row r="98" spans="1:14" ht="15" customHeight="1" x14ac:dyDescent="0.3">
      <c r="A98" s="17" t="s">
        <v>100</v>
      </c>
      <c r="B98" s="17"/>
      <c r="C98" s="17"/>
    </row>
    <row r="99" spans="1:14" ht="15" customHeight="1" x14ac:dyDescent="0.3">
      <c r="A99" s="17" t="s">
        <v>101</v>
      </c>
      <c r="B99" s="17"/>
      <c r="C99" s="17"/>
      <c r="D99" s="20">
        <v>320.08999999999997</v>
      </c>
      <c r="E99" s="17" t="s">
        <v>102</v>
      </c>
      <c r="F99" s="17"/>
      <c r="G99" s="17"/>
      <c r="H99" s="22" t="s">
        <v>103</v>
      </c>
      <c r="I99" s="17" t="s">
        <v>104</v>
      </c>
      <c r="J99" s="17"/>
      <c r="K99" s="17"/>
      <c r="L99" s="22" t="s">
        <v>105</v>
      </c>
      <c r="M99" s="22"/>
      <c r="N99" s="22"/>
    </row>
    <row r="100" spans="1:14" ht="15" customHeight="1" x14ac:dyDescent="0.3">
      <c r="A100" s="17" t="s">
        <v>106</v>
      </c>
      <c r="B100" s="17"/>
      <c r="C100" s="17"/>
      <c r="D100" s="23">
        <v>10</v>
      </c>
      <c r="E100" s="17" t="s">
        <v>107</v>
      </c>
      <c r="F100" s="17"/>
      <c r="G100" s="17"/>
      <c r="H100" s="22" t="s">
        <v>108</v>
      </c>
      <c r="I100" s="17" t="s">
        <v>109</v>
      </c>
      <c r="J100" s="17"/>
      <c r="K100" s="17"/>
      <c r="L100" s="22" t="s">
        <v>110</v>
      </c>
      <c r="M100" s="22"/>
      <c r="N100" s="22"/>
    </row>
    <row r="101" spans="1:14" ht="15" customHeight="1" x14ac:dyDescent="0.3">
      <c r="E101" s="17" t="s">
        <v>111</v>
      </c>
      <c r="F101" s="17"/>
      <c r="G101" s="17"/>
      <c r="H101" s="22" t="s">
        <v>112</v>
      </c>
      <c r="I101" s="17" t="s">
        <v>113</v>
      </c>
      <c r="J101" s="17"/>
      <c r="K101" s="17"/>
      <c r="L101" s="22" t="s">
        <v>114</v>
      </c>
      <c r="M101" s="22"/>
      <c r="N101" s="22"/>
    </row>
    <row r="102" spans="1:14" ht="15" customHeight="1" x14ac:dyDescent="0.3">
      <c r="E102" s="17" t="s">
        <v>115</v>
      </c>
      <c r="F102" s="17"/>
      <c r="G102" s="17"/>
      <c r="H102" s="20">
        <v>378.79</v>
      </c>
      <c r="I102" s="17" t="s">
        <v>116</v>
      </c>
      <c r="J102" s="17"/>
      <c r="K102" s="17"/>
      <c r="L102" s="20">
        <v>-573.6</v>
      </c>
      <c r="M102" s="20"/>
      <c r="N102" s="20"/>
    </row>
    <row r="103" spans="1:14" ht="15" customHeight="1" x14ac:dyDescent="0.3">
      <c r="E103" s="17" t="s">
        <v>117</v>
      </c>
      <c r="F103" s="17"/>
      <c r="G103" s="17"/>
      <c r="H103" s="20">
        <v>151.28714299999999</v>
      </c>
      <c r="I103" s="17" t="s">
        <v>118</v>
      </c>
      <c r="J103" s="17"/>
      <c r="K103" s="17"/>
      <c r="L103" s="20">
        <v>-459.7</v>
      </c>
      <c r="M103" s="20"/>
      <c r="N103" s="20"/>
    </row>
    <row r="104" spans="1:14" ht="15" customHeight="1" x14ac:dyDescent="0.3">
      <c r="E104" s="17" t="s">
        <v>119</v>
      </c>
      <c r="F104" s="17"/>
      <c r="G104" s="17"/>
      <c r="H104" s="22" t="s">
        <v>120</v>
      </c>
      <c r="I104" s="17" t="s">
        <v>121</v>
      </c>
      <c r="J104" s="17"/>
      <c r="K104" s="17"/>
      <c r="L104" s="22" t="s">
        <v>122</v>
      </c>
      <c r="M104" s="22"/>
      <c r="N104" s="22"/>
    </row>
    <row r="105" spans="1:14" ht="15" customHeight="1" x14ac:dyDescent="0.3">
      <c r="E105" s="17" t="s">
        <v>123</v>
      </c>
      <c r="F105" s="17"/>
      <c r="G105" s="17"/>
      <c r="H105" s="22" t="s">
        <v>124</v>
      </c>
      <c r="I105" s="17" t="s">
        <v>125</v>
      </c>
      <c r="J105" s="17"/>
      <c r="K105" s="17"/>
      <c r="L105" s="22" t="s">
        <v>126</v>
      </c>
      <c r="M105" s="22"/>
      <c r="N105" s="22"/>
    </row>
    <row r="106" spans="1:14" ht="15" customHeight="1" x14ac:dyDescent="0.3">
      <c r="E106" s="17" t="s">
        <v>127</v>
      </c>
      <c r="F106" s="17"/>
      <c r="G106" s="17"/>
      <c r="H106" s="23">
        <v>4</v>
      </c>
      <c r="I106" s="17" t="s">
        <v>128</v>
      </c>
      <c r="J106" s="17"/>
      <c r="K106" s="17"/>
      <c r="L106" s="23">
        <v>2</v>
      </c>
      <c r="M106" s="23"/>
      <c r="N106" s="23"/>
    </row>
  </sheetData>
  <mergeCells count="188">
    <mergeCell ref="E105:G105"/>
    <mergeCell ref="H105"/>
    <mergeCell ref="I105:K105"/>
    <mergeCell ref="L105:N105"/>
    <mergeCell ref="E106:G106"/>
    <mergeCell ref="H106"/>
    <mergeCell ref="I106:K106"/>
    <mergeCell ref="L106:N106"/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I99:K99"/>
    <mergeCell ref="L99:N99"/>
    <mergeCell ref="A100:C100"/>
    <mergeCell ref="D100"/>
    <mergeCell ref="E100:G100"/>
    <mergeCell ref="H100"/>
    <mergeCell ref="I100:K100"/>
    <mergeCell ref="L100:N100"/>
    <mergeCell ref="E101:G101"/>
    <mergeCell ref="H101"/>
    <mergeCell ref="I101:K101"/>
    <mergeCell ref="L101:N101"/>
    <mergeCell ref="A97:C97"/>
    <mergeCell ref="D97"/>
    <mergeCell ref="E97:G97"/>
    <mergeCell ref="H97"/>
    <mergeCell ref="A98:C98"/>
    <mergeCell ref="A99:C99"/>
    <mergeCell ref="D99"/>
    <mergeCell ref="E99:G99"/>
    <mergeCell ref="H99"/>
    <mergeCell ref="A94:O94"/>
    <mergeCell ref="A95:C95"/>
    <mergeCell ref="D95"/>
    <mergeCell ref="E95:G95"/>
    <mergeCell ref="H95"/>
    <mergeCell ref="I95:K95"/>
    <mergeCell ref="L95:N95"/>
    <mergeCell ref="A96:C96"/>
    <mergeCell ref="D96"/>
    <mergeCell ref="E96:G96"/>
    <mergeCell ref="H96"/>
    <mergeCell ref="A71:C71"/>
    <mergeCell ref="D71:E71"/>
    <mergeCell ref="G71:I71"/>
    <mergeCell ref="J71:K71"/>
    <mergeCell ref="A72:C72"/>
    <mergeCell ref="D72:E72"/>
    <mergeCell ref="G72:I72"/>
    <mergeCell ref="J72:K72"/>
    <mergeCell ref="A73:C73"/>
    <mergeCell ref="D73:E73"/>
    <mergeCell ref="J67:K67"/>
    <mergeCell ref="M67:O67"/>
    <mergeCell ref="J68:K68"/>
    <mergeCell ref="M68:O68"/>
    <mergeCell ref="A69:J69"/>
    <mergeCell ref="M69:O69"/>
    <mergeCell ref="A70:C70"/>
    <mergeCell ref="D70:E70"/>
    <mergeCell ref="G70:I70"/>
    <mergeCell ref="J70:K70"/>
    <mergeCell ref="I62"/>
    <mergeCell ref="N62:O62"/>
    <mergeCell ref="I63"/>
    <mergeCell ref="N63:O63"/>
    <mergeCell ref="I64"/>
    <mergeCell ref="N64:O64"/>
    <mergeCell ref="A65:H65"/>
    <mergeCell ref="N65:O65"/>
    <mergeCell ref="A66:O66"/>
    <mergeCell ref="I57"/>
    <mergeCell ref="N57:O57"/>
    <mergeCell ref="I58"/>
    <mergeCell ref="N58:O58"/>
    <mergeCell ref="I59"/>
    <mergeCell ref="N59:O59"/>
    <mergeCell ref="I60"/>
    <mergeCell ref="N60:O60"/>
    <mergeCell ref="I61"/>
    <mergeCell ref="N61:O61"/>
    <mergeCell ref="I52"/>
    <mergeCell ref="N52:O52"/>
    <mergeCell ref="I53"/>
    <mergeCell ref="N53:O53"/>
    <mergeCell ref="I54"/>
    <mergeCell ref="N54:O54"/>
    <mergeCell ref="I55"/>
    <mergeCell ref="N55:O55"/>
    <mergeCell ref="I56"/>
    <mergeCell ref="N56:O56"/>
    <mergeCell ref="I47"/>
    <mergeCell ref="N47:O47"/>
    <mergeCell ref="I48"/>
    <mergeCell ref="N48:O48"/>
    <mergeCell ref="I49"/>
    <mergeCell ref="N49:O49"/>
    <mergeCell ref="I50"/>
    <mergeCell ref="N50:O50"/>
    <mergeCell ref="I51"/>
    <mergeCell ref="N51:O51"/>
    <mergeCell ref="J42"/>
    <mergeCell ref="N42:O42"/>
    <mergeCell ref="I43"/>
    <mergeCell ref="N43:O43"/>
    <mergeCell ref="I44"/>
    <mergeCell ref="N44:O44"/>
    <mergeCell ref="I45"/>
    <mergeCell ref="N45:O45"/>
    <mergeCell ref="I46"/>
    <mergeCell ref="N46:O46"/>
    <mergeCell ref="J37:K37"/>
    <mergeCell ref="L37:O37"/>
    <mergeCell ref="J38:K38"/>
    <mergeCell ref="L38:O38"/>
    <mergeCell ref="J39:K39"/>
    <mergeCell ref="L39:O39"/>
    <mergeCell ref="J40:K40"/>
    <mergeCell ref="L40:O40"/>
    <mergeCell ref="A41:O41"/>
    <mergeCell ref="J32:K32"/>
    <mergeCell ref="L32:O32"/>
    <mergeCell ref="J33:K33"/>
    <mergeCell ref="L33:O33"/>
    <mergeCell ref="J34:K34"/>
    <mergeCell ref="L34:O34"/>
    <mergeCell ref="J35:K35"/>
    <mergeCell ref="L35:O35"/>
    <mergeCell ref="J36:K36"/>
    <mergeCell ref="L36:O36"/>
    <mergeCell ref="J27:K27"/>
    <mergeCell ref="L27:O27"/>
    <mergeCell ref="J28:K28"/>
    <mergeCell ref="L28:O28"/>
    <mergeCell ref="J29:K29"/>
    <mergeCell ref="L29:O29"/>
    <mergeCell ref="J30:K30"/>
    <mergeCell ref="L30:O30"/>
    <mergeCell ref="J31:K31"/>
    <mergeCell ref="L31:O31"/>
    <mergeCell ref="J22:K22"/>
    <mergeCell ref="L22:O22"/>
    <mergeCell ref="J23:K23"/>
    <mergeCell ref="L23:O23"/>
    <mergeCell ref="J24:K24"/>
    <mergeCell ref="L24:O24"/>
    <mergeCell ref="J25:K25"/>
    <mergeCell ref="L25:O25"/>
    <mergeCell ref="J26:K26"/>
    <mergeCell ref="L26:O26"/>
    <mergeCell ref="M15:O15"/>
    <mergeCell ref="M16:O16"/>
    <mergeCell ref="M17:O17"/>
    <mergeCell ref="A18:O18"/>
    <mergeCell ref="J19:K19"/>
    <mergeCell ref="L19:O19"/>
    <mergeCell ref="J20:K20"/>
    <mergeCell ref="L20:O20"/>
    <mergeCell ref="J21:K21"/>
    <mergeCell ref="L21:O21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106143199:Glaucio souzas</dc:subject>
  <dc:creator>FBS Markets Inc.</dc:creator>
  <dc:description>Histórico do relatório de negociação contém as posições do cliente e o histórico das ordens</dc:description>
  <cp:lastModifiedBy>Glaucio souza</cp:lastModifiedBy>
  <dcterms:created xsi:type="dcterms:W3CDTF">2026-06-08T18:18:00Z</dcterms:created>
  <dcterms:modified xsi:type="dcterms:W3CDTF">2026-06-08T21:19:43Z</dcterms:modified>
  <cp:category>Reports</cp:category>
</cp:coreProperties>
</file>